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son\OneDrive\Desktop\"/>
    </mc:Choice>
  </mc:AlternateContent>
  <xr:revisionPtr revIDLastSave="0" documentId="13_ncr:1_{A5B26CDC-2BA7-4AD1-B8EB-AF0A1ABBCC74}" xr6:coauthVersionLast="47" xr6:coauthVersionMax="47" xr10:uidLastSave="{00000000-0000-0000-0000-000000000000}"/>
  <bookViews>
    <workbookView xWindow="-120" yWindow="-120" windowWidth="20730" windowHeight="11040" tabRatio="923" xr2:uid="{FD7A0DE4-3220-45CA-B085-D09EEFB1E09B}"/>
  </bookViews>
  <sheets>
    <sheet name="Janeiro" sheetId="12" r:id="rId1"/>
  </sheets>
  <definedNames>
    <definedName name="_xlnm._FilterDatabase" localSheetId="0" hidden="1">Janeiro!$A$3:$J$202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2" l="1"/>
  <c r="I5" i="12"/>
  <c r="H6" i="12"/>
  <c r="I6" i="12"/>
  <c r="H7" i="12"/>
  <c r="I7" i="12"/>
  <c r="H8" i="12"/>
  <c r="I8" i="12"/>
  <c r="J8" i="12"/>
  <c r="H9" i="12"/>
  <c r="I9" i="12"/>
  <c r="H10" i="12"/>
  <c r="I10" i="12"/>
  <c r="H11" i="12"/>
  <c r="I11" i="12"/>
  <c r="H12" i="12"/>
  <c r="I12" i="12"/>
  <c r="H13" i="12"/>
  <c r="I13" i="12"/>
  <c r="H14" i="12"/>
  <c r="I14" i="12"/>
  <c r="H15" i="12"/>
  <c r="I15" i="12"/>
  <c r="H16" i="12"/>
  <c r="I16" i="12"/>
  <c r="H17" i="12"/>
  <c r="I17" i="12"/>
  <c r="H18" i="12"/>
  <c r="I18" i="12"/>
  <c r="H19" i="12"/>
  <c r="I19" i="12"/>
  <c r="H20" i="12"/>
  <c r="I20" i="12"/>
  <c r="H21" i="12"/>
  <c r="I21" i="12"/>
  <c r="H22" i="12"/>
  <c r="I22" i="12"/>
  <c r="H23" i="12"/>
  <c r="I23" i="12"/>
  <c r="H24" i="12"/>
  <c r="I24" i="12"/>
  <c r="H25" i="12"/>
  <c r="I25" i="12"/>
  <c r="H26" i="12"/>
  <c r="I26" i="12"/>
  <c r="H27" i="12"/>
  <c r="I27" i="12"/>
  <c r="H28" i="12"/>
  <c r="I28" i="12"/>
  <c r="H29" i="12"/>
  <c r="I29" i="12"/>
  <c r="H30" i="12"/>
  <c r="I30" i="12"/>
  <c r="H31" i="12"/>
  <c r="I31" i="12"/>
  <c r="H32" i="12"/>
  <c r="I32" i="12"/>
  <c r="H33" i="12"/>
  <c r="I33" i="12"/>
  <c r="H34" i="12"/>
  <c r="I34" i="12"/>
  <c r="H35" i="12"/>
  <c r="I35" i="12"/>
  <c r="H36" i="12"/>
  <c r="I36" i="12"/>
  <c r="H37" i="12"/>
  <c r="I37" i="12"/>
  <c r="H38" i="12"/>
  <c r="I38" i="12"/>
  <c r="H39" i="12"/>
  <c r="I39" i="12"/>
  <c r="H40" i="12"/>
  <c r="I40" i="12"/>
  <c r="H41" i="12"/>
  <c r="I41" i="12"/>
  <c r="H42" i="12"/>
  <c r="I42" i="12"/>
  <c r="H43" i="12"/>
  <c r="I43" i="12"/>
  <c r="H44" i="12"/>
  <c r="I44" i="12"/>
  <c r="H45" i="12"/>
  <c r="I45" i="12"/>
  <c r="H46" i="12"/>
  <c r="I46" i="12"/>
  <c r="H47" i="12"/>
  <c r="I47" i="12"/>
  <c r="H48" i="12"/>
  <c r="I48" i="12"/>
  <c r="H49" i="12"/>
  <c r="I49" i="12"/>
  <c r="H50" i="12"/>
  <c r="I50" i="12"/>
  <c r="H51" i="12"/>
  <c r="I51" i="12"/>
  <c r="H52" i="12"/>
  <c r="I52" i="12"/>
  <c r="H53" i="12"/>
  <c r="I53" i="12"/>
  <c r="H54" i="12"/>
  <c r="I54" i="12"/>
  <c r="H55" i="12"/>
  <c r="I55" i="12"/>
  <c r="H56" i="12"/>
  <c r="I56" i="12"/>
  <c r="H57" i="12"/>
  <c r="I57" i="12"/>
  <c r="H58" i="12"/>
  <c r="I58" i="12"/>
  <c r="H59" i="12"/>
  <c r="I59" i="12"/>
  <c r="H60" i="12"/>
  <c r="I60" i="12"/>
  <c r="H61" i="12"/>
  <c r="I61" i="12"/>
  <c r="H62" i="12"/>
  <c r="I62" i="12"/>
  <c r="H63" i="12"/>
  <c r="I63" i="12"/>
  <c r="H64" i="12"/>
  <c r="I64" i="12"/>
  <c r="H65" i="12"/>
  <c r="I65" i="12"/>
  <c r="H66" i="12"/>
  <c r="I66" i="12"/>
  <c r="H67" i="12"/>
  <c r="I67" i="12"/>
  <c r="H68" i="12"/>
  <c r="I68" i="12"/>
  <c r="H69" i="12"/>
  <c r="I69" i="12"/>
  <c r="H70" i="12"/>
  <c r="I70" i="12"/>
  <c r="H71" i="12"/>
  <c r="I71" i="12"/>
  <c r="H72" i="12"/>
  <c r="I72" i="12"/>
  <c r="H73" i="12"/>
  <c r="I73" i="12"/>
  <c r="H74" i="12"/>
  <c r="I74" i="12"/>
  <c r="H75" i="12"/>
  <c r="I75" i="12"/>
  <c r="H76" i="12"/>
  <c r="I76" i="12"/>
  <c r="H77" i="12"/>
  <c r="I77" i="12"/>
  <c r="H78" i="12"/>
  <c r="I78" i="12"/>
  <c r="H79" i="12"/>
  <c r="I79" i="12"/>
  <c r="H80" i="12"/>
  <c r="I80" i="12"/>
  <c r="H81" i="12"/>
  <c r="I81" i="12"/>
  <c r="H82" i="12"/>
  <c r="I82" i="12"/>
  <c r="H83" i="12"/>
  <c r="I83" i="12"/>
  <c r="H84" i="12"/>
  <c r="I84" i="12"/>
  <c r="H85" i="12"/>
  <c r="I85" i="12"/>
  <c r="H86" i="12"/>
  <c r="I86" i="12"/>
  <c r="H87" i="12"/>
  <c r="I87" i="12"/>
  <c r="H88" i="12"/>
  <c r="I88" i="12"/>
  <c r="H89" i="12"/>
  <c r="I89" i="12"/>
  <c r="H90" i="12"/>
  <c r="I90" i="12"/>
  <c r="H91" i="12"/>
  <c r="I91" i="12"/>
  <c r="H92" i="12"/>
  <c r="I92" i="12"/>
  <c r="H93" i="12"/>
  <c r="I93" i="12"/>
  <c r="H94" i="12"/>
  <c r="I94" i="12"/>
  <c r="H95" i="12"/>
  <c r="I95" i="12"/>
  <c r="H96" i="12"/>
  <c r="I96" i="12"/>
  <c r="H97" i="12"/>
  <c r="I97" i="12"/>
  <c r="H98" i="12"/>
  <c r="I98" i="12"/>
  <c r="H99" i="12"/>
  <c r="I99" i="12"/>
  <c r="H100" i="12"/>
  <c r="I100" i="12"/>
  <c r="H101" i="12"/>
  <c r="I101" i="12"/>
  <c r="H102" i="12"/>
  <c r="I102" i="12"/>
  <c r="H103" i="12"/>
  <c r="I103" i="12"/>
  <c r="H104" i="12"/>
  <c r="I104" i="12"/>
  <c r="H105" i="12"/>
  <c r="I105" i="12"/>
  <c r="H106" i="12"/>
  <c r="I106" i="12"/>
  <c r="H107" i="12"/>
  <c r="I107" i="12"/>
  <c r="H108" i="12"/>
  <c r="I108" i="12"/>
  <c r="H109" i="12"/>
  <c r="I109" i="12"/>
  <c r="H110" i="12"/>
  <c r="I110" i="12"/>
  <c r="H111" i="12"/>
  <c r="I111" i="12"/>
  <c r="H112" i="12"/>
  <c r="I112" i="12"/>
  <c r="H113" i="12"/>
  <c r="I113" i="12"/>
  <c r="H114" i="12"/>
  <c r="I114" i="12"/>
  <c r="H115" i="12"/>
  <c r="I115" i="12"/>
  <c r="H116" i="12"/>
  <c r="I116" i="12"/>
  <c r="H117" i="12"/>
  <c r="I117" i="12"/>
  <c r="H118" i="12"/>
  <c r="I118" i="12"/>
  <c r="H119" i="12"/>
  <c r="I119" i="12"/>
  <c r="H120" i="12"/>
  <c r="I120" i="12"/>
  <c r="H121" i="12"/>
  <c r="I121" i="12"/>
  <c r="H122" i="12"/>
  <c r="I122" i="12"/>
  <c r="H123" i="12"/>
  <c r="I123" i="12"/>
  <c r="H124" i="12"/>
  <c r="I124" i="12"/>
  <c r="H125" i="12"/>
  <c r="I125" i="12"/>
  <c r="H126" i="12"/>
  <c r="I126" i="12"/>
  <c r="H127" i="12"/>
  <c r="I127" i="12"/>
  <c r="H128" i="12"/>
  <c r="I128" i="12"/>
  <c r="H129" i="12"/>
  <c r="I129" i="12"/>
  <c r="H130" i="12"/>
  <c r="I130" i="12"/>
  <c r="H131" i="12"/>
  <c r="I131" i="12"/>
  <c r="H132" i="12"/>
  <c r="I132" i="12"/>
  <c r="H133" i="12"/>
  <c r="I133" i="12"/>
  <c r="H134" i="12"/>
  <c r="I134" i="12"/>
  <c r="H135" i="12"/>
  <c r="I135" i="12"/>
  <c r="H136" i="12"/>
  <c r="I136" i="12"/>
  <c r="H137" i="12"/>
  <c r="I137" i="12"/>
  <c r="H138" i="12"/>
  <c r="I138" i="12"/>
  <c r="H139" i="12"/>
  <c r="I139" i="12"/>
  <c r="H140" i="12"/>
  <c r="I140" i="12"/>
  <c r="H141" i="12"/>
  <c r="I141" i="12"/>
  <c r="H142" i="12"/>
  <c r="I142" i="12"/>
  <c r="H143" i="12"/>
  <c r="I143" i="12"/>
  <c r="H144" i="12"/>
  <c r="I144" i="12"/>
  <c r="H145" i="12"/>
  <c r="I145" i="12"/>
  <c r="H146" i="12"/>
  <c r="I146" i="12"/>
  <c r="H147" i="12"/>
  <c r="I147" i="12"/>
  <c r="H148" i="12"/>
  <c r="I148" i="12"/>
  <c r="H149" i="12"/>
  <c r="I149" i="12"/>
  <c r="H150" i="12"/>
  <c r="I150" i="12"/>
  <c r="H151" i="12"/>
  <c r="I151" i="12"/>
  <c r="H152" i="12"/>
  <c r="I152" i="12"/>
  <c r="H153" i="12"/>
  <c r="I153" i="12"/>
  <c r="H154" i="12"/>
  <c r="I154" i="12"/>
  <c r="H155" i="12"/>
  <c r="I155" i="12"/>
  <c r="H156" i="12"/>
  <c r="I156" i="12"/>
  <c r="H157" i="12"/>
  <c r="I157" i="12"/>
  <c r="H158" i="12"/>
  <c r="I158" i="12"/>
  <c r="H159" i="12"/>
  <c r="I159" i="12"/>
  <c r="H160" i="12"/>
  <c r="I160" i="12"/>
  <c r="H161" i="12"/>
  <c r="I161" i="12"/>
  <c r="H162" i="12"/>
  <c r="I162" i="12"/>
  <c r="H163" i="12"/>
  <c r="I163" i="12"/>
  <c r="H164" i="12"/>
  <c r="I164" i="12"/>
  <c r="H165" i="12"/>
  <c r="I165" i="12"/>
  <c r="H166" i="12"/>
  <c r="I166" i="12"/>
  <c r="H167" i="12"/>
  <c r="I167" i="12"/>
  <c r="H168" i="12"/>
  <c r="I168" i="12"/>
  <c r="H169" i="12"/>
  <c r="I169" i="12"/>
  <c r="H170" i="12"/>
  <c r="I170" i="12"/>
  <c r="H171" i="12"/>
  <c r="I171" i="12"/>
  <c r="H172" i="12"/>
  <c r="I172" i="12"/>
  <c r="H173" i="12"/>
  <c r="I173" i="12"/>
  <c r="H174" i="12"/>
  <c r="I174" i="12"/>
  <c r="H175" i="12"/>
  <c r="I175" i="12"/>
  <c r="H176" i="12"/>
  <c r="I176" i="12"/>
  <c r="H177" i="12"/>
  <c r="I177" i="12"/>
  <c r="H178" i="12"/>
  <c r="I178" i="12"/>
  <c r="H179" i="12"/>
  <c r="I179" i="12"/>
  <c r="H180" i="12"/>
  <c r="I180" i="12"/>
  <c r="H181" i="12"/>
  <c r="I181" i="12"/>
  <c r="H182" i="12"/>
  <c r="I182" i="12"/>
  <c r="H183" i="12"/>
  <c r="I183" i="12"/>
  <c r="H184" i="12"/>
  <c r="I184" i="12"/>
  <c r="H185" i="12"/>
  <c r="I185" i="12"/>
  <c r="H186" i="12"/>
  <c r="I186" i="12"/>
  <c r="H187" i="12"/>
  <c r="I187" i="12"/>
  <c r="H188" i="12"/>
  <c r="I188" i="12"/>
  <c r="H189" i="12"/>
  <c r="I189" i="12"/>
  <c r="J189" i="12"/>
  <c r="H190" i="12"/>
  <c r="I190" i="12"/>
  <c r="H191" i="12"/>
  <c r="I191" i="12"/>
  <c r="H192" i="12"/>
  <c r="I192" i="12"/>
  <c r="H193" i="12"/>
  <c r="I193" i="12"/>
  <c r="H194" i="12"/>
  <c r="I194" i="12"/>
  <c r="H195" i="12"/>
  <c r="I195" i="12"/>
  <c r="I4" i="12"/>
  <c r="H4" i="12"/>
  <c r="F5" i="12"/>
  <c r="F6" i="12"/>
  <c r="F7" i="12"/>
  <c r="J7" i="12" s="1"/>
  <c r="F8" i="12"/>
  <c r="F9" i="12"/>
  <c r="F10" i="12"/>
  <c r="F11" i="12"/>
  <c r="F12" i="12"/>
  <c r="J12" i="12" s="1"/>
  <c r="F13" i="12"/>
  <c r="J13" i="12" s="1"/>
  <c r="F14" i="12"/>
  <c r="F15" i="12"/>
  <c r="F16" i="12"/>
  <c r="J16" i="12" s="1"/>
  <c r="F17" i="12"/>
  <c r="F18" i="12"/>
  <c r="F19" i="12"/>
  <c r="F20" i="12"/>
  <c r="F21" i="12"/>
  <c r="F22" i="12"/>
  <c r="F23" i="12"/>
  <c r="F24" i="12"/>
  <c r="J24" i="12" s="1"/>
  <c r="F25" i="12"/>
  <c r="J25" i="12" s="1"/>
  <c r="F26" i="12"/>
  <c r="F27" i="12"/>
  <c r="J27" i="12" s="1"/>
  <c r="F28" i="12"/>
  <c r="J28" i="12" s="1"/>
  <c r="F29" i="12"/>
  <c r="F30" i="12"/>
  <c r="F31" i="12"/>
  <c r="F32" i="12"/>
  <c r="F33" i="12"/>
  <c r="F34" i="12"/>
  <c r="F35" i="12"/>
  <c r="F36" i="12"/>
  <c r="J36" i="12" s="1"/>
  <c r="F37" i="12"/>
  <c r="J37" i="12" s="1"/>
  <c r="F38" i="12"/>
  <c r="J38" i="12" s="1"/>
  <c r="F39" i="12"/>
  <c r="F40" i="12"/>
  <c r="J40" i="12" s="1"/>
  <c r="F41" i="12"/>
  <c r="F42" i="12"/>
  <c r="F43" i="12"/>
  <c r="F44" i="12"/>
  <c r="F45" i="12"/>
  <c r="F46" i="12"/>
  <c r="F47" i="12"/>
  <c r="F48" i="12"/>
  <c r="J48" i="12" s="1"/>
  <c r="F49" i="12"/>
  <c r="J49" i="12" s="1"/>
  <c r="F50" i="12"/>
  <c r="F51" i="12"/>
  <c r="F52" i="12"/>
  <c r="F53" i="12"/>
  <c r="F54" i="12"/>
  <c r="F55" i="12"/>
  <c r="F56" i="12"/>
  <c r="F57" i="12"/>
  <c r="F58" i="12"/>
  <c r="F59" i="12"/>
  <c r="F60" i="12"/>
  <c r="J60" i="12" s="1"/>
  <c r="F61" i="12"/>
  <c r="F62" i="12"/>
  <c r="F63" i="12"/>
  <c r="J63" i="12" s="1"/>
  <c r="F64" i="12"/>
  <c r="J64" i="12" s="1"/>
  <c r="F65" i="12"/>
  <c r="F66" i="12"/>
  <c r="F67" i="12"/>
  <c r="F68" i="12"/>
  <c r="F69" i="12"/>
  <c r="F70" i="12"/>
  <c r="F71" i="12"/>
  <c r="F72" i="12"/>
  <c r="J72" i="12" s="1"/>
  <c r="F73" i="12"/>
  <c r="J73" i="12" s="1"/>
  <c r="F74" i="12"/>
  <c r="J74" i="12" s="1"/>
  <c r="F75" i="12"/>
  <c r="J75" i="12" s="1"/>
  <c r="F76" i="12"/>
  <c r="F77" i="12"/>
  <c r="F78" i="12"/>
  <c r="J78" i="12" s="1"/>
  <c r="F79" i="12"/>
  <c r="F80" i="12"/>
  <c r="F81" i="12"/>
  <c r="F82" i="12"/>
  <c r="F83" i="12"/>
  <c r="J83" i="12" s="1"/>
  <c r="F84" i="12"/>
  <c r="J84" i="12" s="1"/>
  <c r="F85" i="12"/>
  <c r="J85" i="12" s="1"/>
  <c r="F86" i="12"/>
  <c r="F87" i="12"/>
  <c r="F88" i="12"/>
  <c r="F89" i="12"/>
  <c r="J89" i="12" s="1"/>
  <c r="F90" i="12"/>
  <c r="F91" i="12"/>
  <c r="F92" i="12"/>
  <c r="F93" i="12"/>
  <c r="F94" i="12"/>
  <c r="F95" i="12"/>
  <c r="J95" i="12" s="1"/>
  <c r="F96" i="12"/>
  <c r="J96" i="12" s="1"/>
  <c r="F97" i="12"/>
  <c r="J97" i="12" s="1"/>
  <c r="F98" i="12"/>
  <c r="F99" i="12"/>
  <c r="F100" i="12"/>
  <c r="J100" i="12" s="1"/>
  <c r="F101" i="12"/>
  <c r="J101" i="12" s="1"/>
  <c r="F102" i="12"/>
  <c r="F103" i="12"/>
  <c r="F104" i="12"/>
  <c r="F105" i="12"/>
  <c r="F106" i="12"/>
  <c r="F107" i="12"/>
  <c r="J107" i="12" s="1"/>
  <c r="F108" i="12"/>
  <c r="J108" i="12" s="1"/>
  <c r="F109" i="12"/>
  <c r="J109" i="12" s="1"/>
  <c r="F110" i="12"/>
  <c r="F111" i="12"/>
  <c r="J111" i="12" s="1"/>
  <c r="F112" i="12"/>
  <c r="J112" i="12" s="1"/>
  <c r="F113" i="12"/>
  <c r="J113" i="12" s="1"/>
  <c r="F114" i="12"/>
  <c r="F115" i="12"/>
  <c r="F116" i="12"/>
  <c r="F117" i="12"/>
  <c r="F118" i="12"/>
  <c r="F119" i="12"/>
  <c r="J119" i="12" s="1"/>
  <c r="F120" i="12"/>
  <c r="J120" i="12" s="1"/>
  <c r="F121" i="12"/>
  <c r="J121" i="12" s="1"/>
  <c r="F122" i="12"/>
  <c r="F123" i="12"/>
  <c r="J123" i="12" s="1"/>
  <c r="F124" i="12"/>
  <c r="F125" i="12"/>
  <c r="J125" i="12" s="1"/>
  <c r="F126" i="12"/>
  <c r="F127" i="12"/>
  <c r="F128" i="12"/>
  <c r="F129" i="12"/>
  <c r="F130" i="12"/>
  <c r="F131" i="12"/>
  <c r="J131" i="12" s="1"/>
  <c r="F132" i="12"/>
  <c r="J132" i="12" s="1"/>
  <c r="F133" i="12"/>
  <c r="J133" i="12" s="1"/>
  <c r="F134" i="12"/>
  <c r="F135" i="12"/>
  <c r="F136" i="12"/>
  <c r="J136" i="12" s="1"/>
  <c r="F137" i="12"/>
  <c r="J137" i="12" s="1"/>
  <c r="F138" i="12"/>
  <c r="F139" i="12"/>
  <c r="F140" i="12"/>
  <c r="F141" i="12"/>
  <c r="F142" i="12"/>
  <c r="F143" i="12"/>
  <c r="J143" i="12" s="1"/>
  <c r="F144" i="12"/>
  <c r="F145" i="12"/>
  <c r="F146" i="12"/>
  <c r="F147" i="12"/>
  <c r="F148" i="12"/>
  <c r="J148" i="12" s="1"/>
  <c r="F149" i="12"/>
  <c r="F150" i="12"/>
  <c r="F151" i="12"/>
  <c r="F152" i="12"/>
  <c r="F153" i="12"/>
  <c r="F154" i="12"/>
  <c r="F155" i="12"/>
  <c r="J155" i="12" s="1"/>
  <c r="F156" i="12"/>
  <c r="J156" i="12" s="1"/>
  <c r="F157" i="12"/>
  <c r="J157" i="12" s="1"/>
  <c r="F158" i="12"/>
  <c r="J158" i="12" s="1"/>
  <c r="F159" i="12"/>
  <c r="J159" i="12" s="1"/>
  <c r="F160" i="12"/>
  <c r="F161" i="12"/>
  <c r="F162" i="12"/>
  <c r="F163" i="12"/>
  <c r="F164" i="12"/>
  <c r="F165" i="12"/>
  <c r="F166" i="12"/>
  <c r="F167" i="12"/>
  <c r="F168" i="12"/>
  <c r="J168" i="12" s="1"/>
  <c r="F169" i="12"/>
  <c r="J169" i="12" s="1"/>
  <c r="F170" i="12"/>
  <c r="F171" i="12"/>
  <c r="F172" i="12"/>
  <c r="F173" i="12"/>
  <c r="J173" i="12" s="1"/>
  <c r="F174" i="12"/>
  <c r="F175" i="12"/>
  <c r="F176" i="12"/>
  <c r="F177" i="12"/>
  <c r="F178" i="12"/>
  <c r="F179" i="12"/>
  <c r="J179" i="12" s="1"/>
  <c r="F180" i="12"/>
  <c r="J180" i="12" s="1"/>
  <c r="F181" i="12"/>
  <c r="J181" i="12" s="1"/>
  <c r="F182" i="12"/>
  <c r="F183" i="12"/>
  <c r="F184" i="12"/>
  <c r="F185" i="12"/>
  <c r="F186" i="12"/>
  <c r="F187" i="12"/>
  <c r="F188" i="12"/>
  <c r="F189" i="12"/>
  <c r="F190" i="12"/>
  <c r="F191" i="12"/>
  <c r="J191" i="12" s="1"/>
  <c r="F192" i="12"/>
  <c r="J192" i="12" s="1"/>
  <c r="F193" i="12"/>
  <c r="J193" i="12" s="1"/>
  <c r="F194" i="12"/>
  <c r="F195" i="12"/>
  <c r="J195" i="12" s="1"/>
  <c r="F4" i="12"/>
  <c r="J59" i="12" l="1"/>
  <c r="J47" i="12"/>
  <c r="J35" i="12"/>
  <c r="J11" i="12"/>
  <c r="J190" i="12"/>
  <c r="J154" i="12"/>
  <c r="J142" i="12"/>
  <c r="J118" i="12"/>
  <c r="J106" i="12"/>
  <c r="J82" i="12"/>
  <c r="J70" i="12"/>
  <c r="J46" i="12"/>
  <c r="J34" i="12"/>
  <c r="J153" i="12"/>
  <c r="J141" i="12"/>
  <c r="J129" i="12"/>
  <c r="J81" i="12"/>
  <c r="J69" i="12"/>
  <c r="J45" i="12"/>
  <c r="J33" i="12"/>
  <c r="J21" i="12"/>
  <c r="J176" i="12"/>
  <c r="J44" i="12"/>
  <c r="J187" i="12"/>
  <c r="J175" i="12"/>
  <c r="J139" i="12"/>
  <c r="J91" i="12"/>
  <c r="J67" i="12"/>
  <c r="J55" i="12"/>
  <c r="J162" i="12"/>
  <c r="J102" i="12"/>
  <c r="J71" i="12"/>
  <c r="J23" i="12"/>
  <c r="J166" i="12"/>
  <c r="J58" i="12"/>
  <c r="J22" i="12"/>
  <c r="J165" i="12"/>
  <c r="J117" i="12"/>
  <c r="J57" i="12"/>
  <c r="J164" i="12"/>
  <c r="J65" i="12"/>
  <c r="J53" i="12"/>
  <c r="J41" i="12"/>
  <c r="J29" i="12"/>
  <c r="J17" i="12"/>
  <c r="J5" i="12"/>
  <c r="J80" i="12"/>
  <c r="J149" i="12"/>
  <c r="J94" i="12"/>
  <c r="J177" i="12"/>
  <c r="J93" i="12"/>
  <c r="J140" i="12"/>
  <c r="J116" i="12"/>
  <c r="J92" i="12"/>
  <c r="J68" i="12"/>
  <c r="J20" i="12"/>
  <c r="J163" i="12"/>
  <c r="J103" i="12"/>
  <c r="J43" i="12"/>
  <c r="J19" i="12"/>
  <c r="J144" i="12"/>
  <c r="J167" i="12"/>
  <c r="J178" i="12"/>
  <c r="J10" i="12"/>
  <c r="J105" i="12"/>
  <c r="J9" i="12"/>
  <c r="J152" i="12"/>
  <c r="J128" i="12"/>
  <c r="J104" i="12"/>
  <c r="J56" i="12"/>
  <c r="J32" i="12"/>
  <c r="J151" i="12"/>
  <c r="J127" i="12"/>
  <c r="J115" i="12"/>
  <c r="J79" i="12"/>
  <c r="J31" i="12"/>
  <c r="J186" i="12"/>
  <c r="J174" i="12"/>
  <c r="J150" i="12"/>
  <c r="J138" i="12"/>
  <c r="J126" i="12"/>
  <c r="J90" i="12"/>
  <c r="J66" i="12"/>
  <c r="J54" i="12"/>
  <c r="J42" i="12"/>
  <c r="J30" i="12"/>
  <c r="J18" i="12"/>
  <c r="J6" i="12"/>
  <c r="J161" i="12"/>
  <c r="J184" i="12"/>
  <c r="J160" i="12"/>
  <c r="J124" i="12"/>
  <c r="J88" i="12"/>
  <c r="J76" i="12"/>
  <c r="J183" i="12"/>
  <c r="J135" i="12"/>
  <c r="J99" i="12"/>
  <c r="J87" i="12"/>
  <c r="J39" i="12"/>
  <c r="J15" i="12"/>
  <c r="J194" i="12"/>
  <c r="J170" i="12"/>
  <c r="J146" i="12"/>
  <c r="J134" i="12"/>
  <c r="J122" i="12"/>
  <c r="J110" i="12"/>
  <c r="J98" i="12"/>
  <c r="J86" i="12"/>
  <c r="J62" i="12"/>
  <c r="J26" i="12"/>
  <c r="J14" i="12"/>
  <c r="J114" i="12"/>
  <c r="J77" i="12"/>
  <c r="J130" i="12"/>
  <c r="J51" i="12"/>
  <c r="J52" i="12"/>
  <c r="J50" i="12"/>
  <c r="J188" i="12"/>
  <c r="J172" i="12"/>
  <c r="J171" i="12"/>
  <c r="J61" i="12"/>
  <c r="J185" i="12"/>
  <c r="J182" i="12"/>
  <c r="J147" i="12"/>
  <c r="J145" i="12"/>
  <c r="J197" i="12"/>
  <c r="J4" i="12"/>
  <c r="F196" i="12"/>
  <c r="J198" i="12" s="1"/>
  <c r="J199" i="12" l="1"/>
  <c r="J196" i="12"/>
  <c r="J202" i="12"/>
</calcChain>
</file>

<file path=xl/sharedStrings.xml><?xml version="1.0" encoding="utf-8"?>
<sst xmlns="http://schemas.openxmlformats.org/spreadsheetml/2006/main" count="403" uniqueCount="212">
  <si>
    <t xml:space="preserve">ITEM </t>
  </si>
  <si>
    <t>EXAMES</t>
  </si>
  <si>
    <t>V. UNT</t>
  </si>
  <si>
    <t>Audiometria vocal</t>
  </si>
  <si>
    <t>Campimetria visual binocular</t>
  </si>
  <si>
    <t>Cateterismo Cardíaco</t>
  </si>
  <si>
    <t xml:space="preserve">Colposcopia </t>
  </si>
  <si>
    <t>Curva tensional diária (Binocular)</t>
  </si>
  <si>
    <t>Ecocardiograma (exame com laudo)</t>
  </si>
  <si>
    <t>Eletrocardiograma (laudo)</t>
  </si>
  <si>
    <t>Eletroencefalograma (exame com laudo)</t>
  </si>
  <si>
    <t>Gonioscópia (Binocular)</t>
  </si>
  <si>
    <t>Holter</t>
  </si>
  <si>
    <t>Mamografia</t>
  </si>
  <si>
    <t>Mapa 24 h</t>
  </si>
  <si>
    <t xml:space="preserve">OCT – mácula – AO </t>
  </si>
  <si>
    <t>OCT – mácula – AO retinografia simples + angiofluoresceinografia – AO</t>
  </si>
  <si>
    <t>OCT – nervo óptico – AO (Glaucoma Premium)</t>
  </si>
  <si>
    <t>OCT – nervo óptico AO + análise de Células ganglionares</t>
  </si>
  <si>
    <t>Otoemissões acústicas</t>
  </si>
  <si>
    <t>Paquimetria Corneana (Binocular)</t>
  </si>
  <si>
    <t>Polissonografia (PSG)</t>
  </si>
  <si>
    <t>Retinografia fluorescente</t>
  </si>
  <si>
    <t>Retinografia Simples</t>
  </si>
  <si>
    <t>Rinofibroscopia</t>
  </si>
  <si>
    <t>Testes vestibulares Com Vecto – Eletronistagmografia</t>
  </si>
  <si>
    <t>Ultrassonografia Articulação (cada)</t>
  </si>
  <si>
    <t>Ultrassonografia cervical</t>
  </si>
  <si>
    <t xml:space="preserve">Ultrassonografia das Carótidas </t>
  </si>
  <si>
    <t>Ultrassonografia obstétrica com dopller</t>
  </si>
  <si>
    <t>Ultrassonografia Ocular (monocular)</t>
  </si>
  <si>
    <t>Ultrassonografia partes moles</t>
  </si>
  <si>
    <t>Ultrassonografia partes superficiais</t>
  </si>
  <si>
    <t>Ultrassonografia pélvica</t>
  </si>
  <si>
    <t>Vídeo Faringo – Laringospia com endoscópio Rígido</t>
  </si>
  <si>
    <t>Vídeo laringoestroboscopia</t>
  </si>
  <si>
    <t>Vídeo rinofibroscopia flexível</t>
  </si>
  <si>
    <t>Videolaringoscopia flexível</t>
  </si>
  <si>
    <t>Agulhamento (mama)</t>
  </si>
  <si>
    <t>Anestesia peribulbar (com sedação)</t>
  </si>
  <si>
    <t>Aplicação Intra-Vítreo de Anti-Vegf - monocular</t>
  </si>
  <si>
    <t xml:space="preserve">Biópsia de colo uterino </t>
  </si>
  <si>
    <t>Biópsia de laringe = microcirurgia de laringe (incluso a equipe médica e acomodação hospitalar)</t>
  </si>
  <si>
    <t>Biópsia de linfonodo com anestesia geral (incluso a equipe médica e acomodação hospitalar)</t>
  </si>
  <si>
    <t>Biópsia de linfonodo com anestesia local (incluso a equipe médica e acomodação hospitalar)</t>
  </si>
  <si>
    <t>Biopsia de nariz/Biopsia de laringe (endoscópica)</t>
  </si>
  <si>
    <t>Biópsia de vagina</t>
  </si>
  <si>
    <t>Biópsia de vulva</t>
  </si>
  <si>
    <t>BOTA DE UNNA. A execução do procedimento incluindo fornecimento de material. Os procedimentos devem ser executados por profissional de enfermagem devidamente capacitado, com especialização em curativos e com respectivo registrado no conselho de classe competente. O Material do curativo inclui no mínimo: gase estéril, esparadrapo, soro fisiológico, clorexidina sabonete, bota de unna 10.2cm x 9.14m estéril com atadura de gaze impregnada com óxido de zinco.</t>
  </si>
  <si>
    <t>Cauterização Anal (Aplicação de ATA)</t>
  </si>
  <si>
    <t>Cauterização nasal com cautério bipolar e anestesia local</t>
  </si>
  <si>
    <t>Cauterização nasal ou da faringe com ATA</t>
  </si>
  <si>
    <t>CURATIVO ESPECIAL TIPO 3, (ferida maior 10cm) A execução do procedimento incluindo fornecimento de material. Os procedimentos devem ser executados por profissional de enfermagem devidamente capacitado, com especialização em curativos e com respectivo registrado no conselho de classe competente. O Material do Curativo inclui no mínimo: gase estéril, esparadrapo, soro fisiológico, lidocaína geléia, clorexidina sabonete, caixa de pinças estéreis(instrumental), phmb em gel, compressa estéril, biatain ag + alginato 15x15cm, alginato de cálcio placa 10x10, lâmina de bisturi nº 24, creme de barreira, hyaludermin 2% 10g, faixa crepom 10cm</t>
  </si>
  <si>
    <t>Endoscopia Naso – Sinusal com Ótica Rígida</t>
  </si>
  <si>
    <t>Escleroterapia com espuma de Polidocanol de membro inferior, para tratamento de varizes</t>
  </si>
  <si>
    <t>Excisão de pólipo endocervical</t>
  </si>
  <si>
    <t>Fotocoagulação a Laser (monocular)</t>
  </si>
  <si>
    <t>Impedanciometria</t>
  </si>
  <si>
    <t>Implante de cateter para hemodiálise ou quimioterapia</t>
  </si>
  <si>
    <t>Introdução de DIU</t>
  </si>
  <si>
    <t>Punção Aspirativa de mama guiada por USG</t>
  </si>
  <si>
    <t>Remoção de Cerume (Ouvido)</t>
  </si>
  <si>
    <t>Remoção de corpos estranhos ouvido, faringe e nariz</t>
  </si>
  <si>
    <t>Teste da Linguinha</t>
  </si>
  <si>
    <t>Teste de Prótese Auditivas</t>
  </si>
  <si>
    <t>Teste Ergométrico</t>
  </si>
  <si>
    <t>Vectoeletronistagmografia</t>
  </si>
  <si>
    <t>Crosslink monocular</t>
  </si>
  <si>
    <t>Cirurgia de pterígio monocular</t>
  </si>
  <si>
    <t>Tratamento cirúrgico de varizes de membro inferior por ablação com endolaser ou radiofrequência.</t>
  </si>
  <si>
    <t>Yag Laser (Capsulotomia). Monocular</t>
  </si>
  <si>
    <t>Acompanhamento de aparelho auditivo</t>
  </si>
  <si>
    <t>Adaptação de Aparelho auditivo</t>
  </si>
  <si>
    <t>Consulta Angiologista</t>
  </si>
  <si>
    <t>Consulta Cirurgião de cabeça e pescoço</t>
  </si>
  <si>
    <t>Consulta Dermatologia</t>
  </si>
  <si>
    <t>Consulta Gastroenterologia</t>
  </si>
  <si>
    <t>Consulta Ginecologia</t>
  </si>
  <si>
    <t>Consulta Mastologia</t>
  </si>
  <si>
    <t>Consulta Neurologia</t>
  </si>
  <si>
    <t>Consulta Ortopedia</t>
  </si>
  <si>
    <t>Consulta Otorrinolaringologia</t>
  </si>
  <si>
    <t>Consulta Psiquiatria</t>
  </si>
  <si>
    <t>Consulta Reumatologia</t>
  </si>
  <si>
    <t>Seções de Fonoaudiologia</t>
  </si>
  <si>
    <t>Seleção de Aparelho Auditivo</t>
  </si>
  <si>
    <t>PREVISTO NO CONT. DE RATEIO?</t>
  </si>
  <si>
    <t>VALOR EXECUTADO</t>
  </si>
  <si>
    <t>QUANTIDADE MENSAL PREVISTA</t>
  </si>
  <si>
    <t>VALOR MENSAL PREVISTO</t>
  </si>
  <si>
    <t>QUANTIDADE REALIZADA</t>
  </si>
  <si>
    <t>Não</t>
  </si>
  <si>
    <t>QUANTIDADE DE CONSULTAS EXTRAS</t>
  </si>
  <si>
    <t>Total Previsto no Mês</t>
  </si>
  <si>
    <t>SALDO TOTAL EXECUTADO (R$)</t>
  </si>
  <si>
    <t>Total Geral dos Procedimentos</t>
  </si>
  <si>
    <t>Repasse - Centro de Referência em Atedimento das Mulheres do Cariri - CRIAMC</t>
  </si>
  <si>
    <t>Repasse - CICSCOAgro</t>
  </si>
  <si>
    <t>Total de Repasse Mensal</t>
  </si>
  <si>
    <t>Saldo do Mês</t>
  </si>
  <si>
    <t>Audiometria tonal</t>
  </si>
  <si>
    <t>Raio X completo (Laudo e Película)</t>
  </si>
  <si>
    <t>Topografia Corneana (Binocular)</t>
  </si>
  <si>
    <t>Ultrassonografia Abdomem superior</t>
  </si>
  <si>
    <t>Ultrassonografia abdômen total</t>
  </si>
  <si>
    <r>
      <t xml:space="preserve">Ultrassonografia Arterial de Membros Superiores e Inferiores </t>
    </r>
    <r>
      <rPr>
        <b/>
        <sz val="12"/>
        <color rgb="FF000000"/>
        <rFont val="Times New Roman"/>
        <family val="1"/>
      </rPr>
      <t>(valor por Membro)</t>
    </r>
  </si>
  <si>
    <t>Ultrassonografia biliares</t>
  </si>
  <si>
    <t>Ultrassonografia bolsa escrotal</t>
  </si>
  <si>
    <t>Ultrassonografia da tireoide</t>
  </si>
  <si>
    <t>Ultrassonografia Inguinal</t>
  </si>
  <si>
    <t>Ultrassonografia Mamária, incluindo axila</t>
  </si>
  <si>
    <t>Ultrassonografia obstétrica</t>
  </si>
  <si>
    <t>Ultrassonografia parede Abdominal</t>
  </si>
  <si>
    <t>Ultrassonografia Próstata</t>
  </si>
  <si>
    <t>Ultrassonografia Testículos</t>
  </si>
  <si>
    <t>Ultrassonografia transvaginal</t>
  </si>
  <si>
    <t>Ultrassonografia Transluscência Nucal</t>
  </si>
  <si>
    <r>
      <t xml:space="preserve">Biópsia: dermato </t>
    </r>
    <r>
      <rPr>
        <b/>
        <sz val="12"/>
        <color rgb="FF000000"/>
        <rFont val="Times New Roman"/>
        <family val="1"/>
      </rPr>
      <t>(Anátomo patológico)</t>
    </r>
  </si>
  <si>
    <r>
      <t xml:space="preserve">Biópsia: endoscopia </t>
    </r>
    <r>
      <rPr>
        <b/>
        <sz val="12"/>
        <color rgb="FF000000"/>
        <rFont val="Times New Roman"/>
        <family val="1"/>
      </rPr>
      <t>(Anátomo patológico)</t>
    </r>
  </si>
  <si>
    <r>
      <t xml:space="preserve">Biópsia: Gineco, </t>
    </r>
    <r>
      <rPr>
        <b/>
        <sz val="12"/>
        <color rgb="FF000000"/>
        <rFont val="Times New Roman"/>
        <family val="1"/>
      </rPr>
      <t>(Anátomo patológico)</t>
    </r>
  </si>
  <si>
    <r>
      <t xml:space="preserve">Cauterização química (Aplicação de ATA) </t>
    </r>
    <r>
      <rPr>
        <b/>
        <sz val="12"/>
        <color rgb="FF000000"/>
        <rFont val="Times New Roman"/>
        <family val="1"/>
      </rPr>
      <t>com material incluso</t>
    </r>
  </si>
  <si>
    <t>Conização por C.A.F. (Cirurgia de Alta Frequência)</t>
  </si>
  <si>
    <t>Core biopsy</t>
  </si>
  <si>
    <t xml:space="preserve">Curativo especial tipo 1, (ferida até 5cm) A execução do procedimento incluindo fornecimento de material. Os procedimentos devem ser executados por profissional de enfermagem devidamente capacitado, com especialização em curativos e com respectivo registrado no conselho de classe competente. O Material do Curativo do curativo inclui no mínimo:gase estéril, esparadrapo, soro fisiológico, gase com phmb, lidocaína geleia, clorexidina sabonete, hidrogel 25g, compressa estéril, faixa crepom 10cm. </t>
  </si>
  <si>
    <r>
      <t>Curativo especial tipo 2, (ferida até 10cm) A execução do procedimento incluindo fornecimento de material. Os procedimentos devem ser executados por profissional de enfermagem devidamente capacitado, com especialização em curativos e com respectivo registrado no conselho de classe competente. O Material do Curativo do curativo inclui no mínimo:</t>
    </r>
    <r>
      <rPr>
        <b/>
        <sz val="12"/>
        <color rgb="FF000000"/>
        <rFont val="Times New Roman"/>
        <family val="1"/>
      </rPr>
      <t xml:space="preserve"> gase estéril, esparadrapo, soro fisiológico, lidocaína geléia, clorexidina sabonete, caixa de pinças estéreis(instrumental), compressa estéril, biatain ag + alginato 10x10cm, creme de barreira, hyaludermin 2% 10g, </t>
    </r>
    <r>
      <rPr>
        <sz val="12"/>
        <color rgb="FF000000"/>
        <rFont val="Times New Roman"/>
        <family val="1"/>
      </rPr>
      <t>lâmina</t>
    </r>
    <r>
      <rPr>
        <b/>
        <sz val="12"/>
        <color rgb="FF000000"/>
        <rFont val="Times New Roman"/>
        <family val="1"/>
      </rPr>
      <t xml:space="preserve"> de bisturi nº 24, faixa crepom 10cm</t>
    </r>
  </si>
  <si>
    <t>Endoscopia digestiva alta (exame com laudo)</t>
  </si>
  <si>
    <t>Exérese de lesões vulvares por Caf</t>
  </si>
  <si>
    <r>
      <t xml:space="preserve">Infiltração articular reumato </t>
    </r>
    <r>
      <rPr>
        <b/>
        <sz val="12"/>
        <color rgb="FF000000"/>
        <rFont val="Times New Roman"/>
        <family val="1"/>
      </rPr>
      <t>(incluso material)</t>
    </r>
  </si>
  <si>
    <r>
      <t xml:space="preserve">Punções e Infiltrações ortopédicas </t>
    </r>
    <r>
      <rPr>
        <b/>
        <sz val="12"/>
        <color rgb="FF000000"/>
        <rFont val="Times New Roman"/>
        <family val="1"/>
      </rPr>
      <t>(incluso material)</t>
    </r>
  </si>
  <si>
    <t>Teste da Orelinha</t>
  </si>
  <si>
    <r>
      <t xml:space="preserve">Adenoidectomia </t>
    </r>
    <r>
      <rPr>
        <b/>
        <sz val="12"/>
        <color rgb="FF000000"/>
        <rFont val="Times New Roman"/>
        <family val="1"/>
      </rPr>
      <t>(incluso material, equipe médica e acomodação hospitalar)</t>
    </r>
  </si>
  <si>
    <r>
      <t xml:space="preserve">Adenoidectomia/Adeno- amigdalecto-mia+Timpanotomia </t>
    </r>
    <r>
      <rPr>
        <b/>
        <sz val="12"/>
        <color rgb="FF000000"/>
        <rFont val="Times New Roman"/>
        <family val="1"/>
      </rPr>
      <t>(Tubo de ventilação)</t>
    </r>
  </si>
  <si>
    <r>
      <t xml:space="preserve">Amigdalectomia + Septoplastia + Turbinectomia </t>
    </r>
    <r>
      <rPr>
        <b/>
        <sz val="12"/>
        <color rgb="FF000000"/>
        <rFont val="Times New Roman"/>
        <family val="1"/>
      </rPr>
      <t>(incluso material, equipe médica e acomodação hospitalar)</t>
    </r>
  </si>
  <si>
    <r>
      <t xml:space="preserve">Amigdalectomia Adulto, </t>
    </r>
    <r>
      <rPr>
        <b/>
        <sz val="12"/>
        <color rgb="FF000000"/>
        <rFont val="Times New Roman"/>
        <family val="1"/>
      </rPr>
      <t>(incluso material, equipe médica e acomodação hospitalar)</t>
    </r>
  </si>
  <si>
    <r>
      <t xml:space="preserve">Cirurgia de amputação de membro </t>
    </r>
    <r>
      <rPr>
        <b/>
        <sz val="12"/>
        <color rgb="FF000000"/>
        <rFont val="Times New Roman"/>
        <family val="1"/>
      </rPr>
      <t>(incluso material, equipe médica e acomodação hospitalar)</t>
    </r>
  </si>
  <si>
    <r>
      <t xml:space="preserve">Cirurgia de catarata monocular </t>
    </r>
    <r>
      <rPr>
        <b/>
        <sz val="12"/>
        <color rgb="FF000000"/>
        <rFont val="Times New Roman"/>
        <family val="1"/>
      </rPr>
      <t>(incluso material)</t>
    </r>
  </si>
  <si>
    <r>
      <t>Cirurgia de dermatológica em geral (</t>
    </r>
    <r>
      <rPr>
        <b/>
        <sz val="12"/>
        <color rgb="FF000000"/>
        <rFont val="Times New Roman"/>
        <family val="1"/>
      </rPr>
      <t>incluso material)</t>
    </r>
  </si>
  <si>
    <r>
      <t xml:space="preserve">Cirurgia de desbridamento de membro </t>
    </r>
    <r>
      <rPr>
        <b/>
        <sz val="12"/>
        <color rgb="FF000000"/>
        <rFont val="Times New Roman"/>
        <family val="1"/>
      </rPr>
      <t>(incluso material, equipe médica e acomodação hospitalar)</t>
    </r>
  </si>
  <si>
    <r>
      <t xml:space="preserve">Cirurgia de Implante de Anel de Ferrara </t>
    </r>
    <r>
      <rPr>
        <b/>
        <sz val="12"/>
        <color rgb="FF000000"/>
        <rFont val="Times New Roman"/>
        <family val="1"/>
      </rPr>
      <t>(incluso material.</t>
    </r>
  </si>
  <si>
    <r>
      <t xml:space="preserve">Cirurgia de revascularização de membro inferior </t>
    </r>
    <r>
      <rPr>
        <b/>
        <sz val="12"/>
        <color rgb="FF000000"/>
        <rFont val="Times New Roman"/>
        <family val="1"/>
      </rPr>
      <t>(incluso material, equipe médica e acomodação hospitalar)</t>
    </r>
  </si>
  <si>
    <r>
      <t xml:space="preserve">Cirurgia de Setorectomia </t>
    </r>
    <r>
      <rPr>
        <b/>
        <sz val="12"/>
        <color rgb="FF000000"/>
        <rFont val="Times New Roman"/>
        <family val="1"/>
      </rPr>
      <t>(incluso material, equipe médica e acomodação hospitalar)</t>
    </r>
  </si>
  <si>
    <r>
      <t xml:space="preserve">Cirurgia de Vitrectomia posterior/endolaser monocular com remoção de óleo de silicone </t>
    </r>
    <r>
      <rPr>
        <b/>
        <sz val="12"/>
        <color rgb="FF000000"/>
        <rFont val="Times New Roman"/>
        <family val="1"/>
      </rPr>
      <t>(Lente inclusa pela contratada)</t>
    </r>
  </si>
  <si>
    <r>
      <t xml:space="preserve">Cirurgia Dedo em gatilho </t>
    </r>
    <r>
      <rPr>
        <b/>
        <sz val="12"/>
        <color rgb="FF000000"/>
        <rFont val="Times New Roman"/>
        <family val="1"/>
      </rPr>
      <t>(incluso material)</t>
    </r>
  </si>
  <si>
    <t>Cirurgia fistulizante anti-glaucomatosa - monocular</t>
  </si>
  <si>
    <r>
      <t xml:space="preserve">Cisto cervical </t>
    </r>
    <r>
      <rPr>
        <b/>
        <sz val="12"/>
        <color rgb="FF000000"/>
        <rFont val="Times New Roman"/>
        <family val="1"/>
      </rPr>
      <t>(incluso material, equipe médica e acomodação hospitalar)</t>
    </r>
  </si>
  <si>
    <r>
      <t xml:space="preserve">Dacriorinocistostomia com sondagem das vias lacrimais </t>
    </r>
    <r>
      <rPr>
        <b/>
        <sz val="12"/>
        <color rgb="FF000000"/>
        <rFont val="Times New Roman"/>
        <family val="1"/>
      </rPr>
      <t>(incluso material, equipe médica e/ou acomodação hospitalar)</t>
    </r>
  </si>
  <si>
    <r>
      <t>Drenagem de Abcesso mastoide</t>
    </r>
    <r>
      <rPr>
        <b/>
        <sz val="12"/>
        <color rgb="FF000000"/>
        <rFont val="Times New Roman"/>
        <family val="1"/>
      </rPr>
      <t xml:space="preserve"> (incluso material, equipe médica e acomodação hospitalar)</t>
    </r>
  </si>
  <si>
    <r>
      <t xml:space="preserve">Drenagem de Abcesso Septal/ouvido </t>
    </r>
    <r>
      <rPr>
        <b/>
        <sz val="12"/>
        <color rgb="FF000000"/>
        <rFont val="Times New Roman"/>
        <family val="1"/>
      </rPr>
      <t>(incluso material, equipe médica e acomodação hospitalar)</t>
    </r>
  </si>
  <si>
    <r>
      <t xml:space="preserve">Frenotomia lingual </t>
    </r>
    <r>
      <rPr>
        <b/>
        <sz val="12"/>
        <color rgb="FF000000"/>
        <rFont val="Times New Roman"/>
        <family val="1"/>
      </rPr>
      <t>(incluso material, equipe médica e acomodação hospitalar)</t>
    </r>
  </si>
  <si>
    <r>
      <t xml:space="preserve">Laringectomia parcial </t>
    </r>
    <r>
      <rPr>
        <b/>
        <sz val="12"/>
        <color rgb="FF000000"/>
        <rFont val="Times New Roman"/>
        <family val="1"/>
      </rPr>
      <t>(incluso a equipe médica e acomodação hospitalar)</t>
    </r>
  </si>
  <si>
    <r>
      <t xml:space="preserve">Laringectomia total com esvaziamento cervical </t>
    </r>
    <r>
      <rPr>
        <b/>
        <sz val="12"/>
        <color rgb="FF000000"/>
        <rFont val="Times New Roman"/>
        <family val="1"/>
      </rPr>
      <t>(incluso material, equipe médica e acomodação hospitalar)</t>
    </r>
  </si>
  <si>
    <r>
      <t xml:space="preserve">Laringoscopia rígida </t>
    </r>
    <r>
      <rPr>
        <b/>
        <sz val="12"/>
        <color rgb="FF000000"/>
        <rFont val="Times New Roman"/>
        <family val="1"/>
      </rPr>
      <t>(incluso material, equipe médica e acomodação hospitalar)</t>
    </r>
  </si>
  <si>
    <r>
      <t>Lesão de menisco</t>
    </r>
    <r>
      <rPr>
        <b/>
        <sz val="12"/>
        <color rgb="FF000000"/>
        <rFont val="Times New Roman"/>
        <family val="1"/>
      </rPr>
      <t xml:space="preserve"> (incluso material, equipe médica)</t>
    </r>
  </si>
  <si>
    <r>
      <t xml:space="preserve">Mastoidectomia </t>
    </r>
    <r>
      <rPr>
        <b/>
        <sz val="12"/>
        <color rgb="FF000000"/>
        <rFont val="Times New Roman"/>
        <family val="1"/>
      </rPr>
      <t>(incluso material, equipe médica e acomodação hospitalar)</t>
    </r>
  </si>
  <si>
    <t>Microcirurgia de Laringe (incluso material, equipe médica e acomodação hospitalar)</t>
  </si>
  <si>
    <r>
      <t xml:space="preserve">Paratidectomia </t>
    </r>
    <r>
      <rPr>
        <b/>
        <sz val="12"/>
        <color rgb="FF000000"/>
        <rFont val="Times New Roman"/>
        <family val="1"/>
      </rPr>
      <t>(incluso material, equipe médica e acomodação hospitalar)</t>
    </r>
  </si>
  <si>
    <t>Pequenas Lesões de Palpebra e Supercílios</t>
  </si>
  <si>
    <r>
      <t xml:space="preserve">Redução de Articulação </t>
    </r>
    <r>
      <rPr>
        <b/>
        <sz val="12"/>
        <color rgb="FF000000"/>
        <rFont val="Times New Roman"/>
        <family val="1"/>
      </rPr>
      <t>(incluso material, equipe médica e acomodação hospitalar)</t>
    </r>
  </si>
  <si>
    <r>
      <t xml:space="preserve">Rinosseptoplastia funcional </t>
    </r>
    <r>
      <rPr>
        <b/>
        <sz val="12"/>
        <color rgb="FF000000"/>
        <rFont val="Times New Roman"/>
        <family val="1"/>
      </rPr>
      <t>(incluso material, equipe médica e acomodação hospitalar)</t>
    </r>
  </si>
  <si>
    <r>
      <t xml:space="preserve">Septoplastia + Turbinectomia </t>
    </r>
    <r>
      <rPr>
        <b/>
        <sz val="12"/>
        <color rgb="FF000000"/>
        <rFont val="Times New Roman"/>
        <family val="1"/>
      </rPr>
      <t>(incluso material, equipe médica e acomodação hospitalar)</t>
    </r>
  </si>
  <si>
    <r>
      <t xml:space="preserve">Sinosectomia (crônica ou poliose) </t>
    </r>
    <r>
      <rPr>
        <b/>
        <sz val="12"/>
        <color rgb="FF000000"/>
        <rFont val="Times New Roman"/>
        <family val="1"/>
      </rPr>
      <t>(incluso a equipe médica e acomodação hospitalar)</t>
    </r>
  </si>
  <si>
    <r>
      <t xml:space="preserve">Sinusectomia endoscópica </t>
    </r>
    <r>
      <rPr>
        <b/>
        <sz val="12"/>
        <color rgb="FF000000"/>
        <rFont val="Times New Roman"/>
        <family val="1"/>
      </rPr>
      <t>(incluso material, equipe médica e acomodação hospitalar)</t>
    </r>
  </si>
  <si>
    <r>
      <t xml:space="preserve">Timpanoplastia </t>
    </r>
    <r>
      <rPr>
        <b/>
        <sz val="12"/>
        <color rgb="FF000000"/>
        <rFont val="Times New Roman"/>
        <family val="1"/>
      </rPr>
      <t>(incluso material, equipe médica e acomodação hospitalar)</t>
    </r>
  </si>
  <si>
    <r>
      <t xml:space="preserve">Tireoidectomia total </t>
    </r>
    <r>
      <rPr>
        <b/>
        <sz val="12"/>
        <color rgb="FF000000"/>
        <rFont val="Times New Roman"/>
        <family val="1"/>
      </rPr>
      <t>(incluso a equipe médica e acomodação hospitalar)</t>
    </r>
  </si>
  <si>
    <r>
      <t xml:space="preserve">Tireoidectomia total com esvaziamento cervical </t>
    </r>
    <r>
      <rPr>
        <b/>
        <sz val="12"/>
        <color rgb="FF000000"/>
        <rFont val="Times New Roman"/>
        <family val="1"/>
      </rPr>
      <t>(incluso material, equipe médica e acomodação hospitalar)</t>
    </r>
  </si>
  <si>
    <r>
      <t xml:space="preserve">Tratamento cirúrgico de varizes de membro inferior </t>
    </r>
    <r>
      <rPr>
        <b/>
        <sz val="12"/>
        <color rgb="FF000000"/>
        <rFont val="Times New Roman"/>
        <family val="1"/>
      </rPr>
      <t>(incluso material, equipe médica e acomodação hospitalar)</t>
    </r>
  </si>
  <si>
    <r>
      <t xml:space="preserve">Tubo de ventilação (timpanotomia) </t>
    </r>
    <r>
      <rPr>
        <b/>
        <sz val="12"/>
        <color rgb="FF000000"/>
        <rFont val="Times New Roman"/>
        <family val="1"/>
      </rPr>
      <t>(incluso material, equipe médica e acomodação hospitalar)</t>
    </r>
  </si>
  <si>
    <r>
      <t xml:space="preserve">Tumor de boca com esvaziamento cervical </t>
    </r>
    <r>
      <rPr>
        <b/>
        <sz val="12"/>
        <color rgb="FF000000"/>
        <rFont val="Times New Roman"/>
        <family val="1"/>
      </rPr>
      <t>(incluso a equipe médica e acomodação hospitalar)</t>
    </r>
  </si>
  <si>
    <r>
      <t xml:space="preserve">Tumor de pele </t>
    </r>
    <r>
      <rPr>
        <b/>
        <sz val="12"/>
        <color rgb="FF000000"/>
        <rFont val="Times New Roman"/>
        <family val="1"/>
      </rPr>
      <t>(incluso material, equipe médica e acomodação hospitalar)</t>
    </r>
  </si>
  <si>
    <r>
      <t>Uvulopalatofaringoplastia</t>
    </r>
    <r>
      <rPr>
        <b/>
        <sz val="12"/>
        <color rgb="FF000000"/>
        <rFont val="Times New Roman"/>
        <family val="1"/>
      </rPr>
      <t xml:space="preserve"> (incluso material, equipe médica e acomodação hospitalar)</t>
    </r>
  </si>
  <si>
    <t>Consulta Cardiologia</t>
  </si>
  <si>
    <t>Consulta Endocrinologia</t>
  </si>
  <si>
    <r>
      <t xml:space="preserve">Consulta Oftalmológica, </t>
    </r>
    <r>
      <rPr>
        <b/>
        <sz val="12"/>
        <color theme="1"/>
        <rFont val="Times New Roman"/>
        <family val="1"/>
      </rPr>
      <t>(incluso mapeamento + tonometria)</t>
    </r>
  </si>
  <si>
    <t>Consulta em Urologia</t>
  </si>
  <si>
    <r>
      <t>Perícia Judicial (</t>
    </r>
    <r>
      <rPr>
        <b/>
        <sz val="12"/>
        <color theme="1"/>
        <rFont val="Times New Roman"/>
        <family val="1"/>
      </rPr>
      <t>Neurologia, Psiquiatria, Oftalmologia, Ortopedia e Reumatologia)</t>
    </r>
  </si>
  <si>
    <t>20% da Taxa Administrativa Adicional - Procedimento Extras Realizados</t>
  </si>
  <si>
    <t>Punção biópsia guiada por USG da tireoide, (incluso coleta e  exame citopatológico)</t>
  </si>
  <si>
    <t>Ultrassonografia Penianas</t>
  </si>
  <si>
    <t>Ultrassonografia Rins e vias urinárias</t>
  </si>
  <si>
    <t>Ultrassonografia – Obstétrica gestação múltipla com Doppler colorido: cada feto</t>
  </si>
  <si>
    <t>Ultrassonografia com Doppler colorido arterial de membro inferior – unilateral</t>
  </si>
  <si>
    <t>Ultrassonografia com Doppler colorido arterial de membro superior – unilateral</t>
  </si>
  <si>
    <t>Ultrassonografia com Doppler colorido da Tireoide</t>
  </si>
  <si>
    <t>Ultrassonografia com Doppler colorido de aorta e artérias renais</t>
  </si>
  <si>
    <t>Ultrassonografia com Doppler colorido de aorta e ilíacas</t>
  </si>
  <si>
    <t>Ultrassonografia com Doppler colorido de artérias penianas (sem fármaco indução)</t>
  </si>
  <si>
    <t>Ultrassonografia com Doppler colorido de artérias viscerais (mesentéricas superior e inferior e tronco)</t>
  </si>
  <si>
    <t>Ultrassonografia com Doppler colorido de hemangioma</t>
  </si>
  <si>
    <t>Ultrassonografia com Doppler colorido de órgão ou estrutura isolada</t>
  </si>
  <si>
    <t>Ultrassonografia com Doppler colorido de vasos cervicais venosos bilateral (subclávias e jugulares)</t>
  </si>
  <si>
    <t>Ultrassonografia com Doppler colorido de veia cava superior ou inferior</t>
  </si>
  <si>
    <t>Ultrassonografia com Doppler colorido venoso de membro inferior – unilateral</t>
  </si>
  <si>
    <t>Ultrassonografia com Doppler colorido venoso de membro Superior – unilateral</t>
  </si>
  <si>
    <t>Ultrassonografia com Doppler transcraniano</t>
  </si>
  <si>
    <t>Ultrassonografia Doppler colorido de vasos cervicais arteriais bilateral (carótidas e vertebrais)</t>
  </si>
  <si>
    <t>Ultrassonografia – Doppler colorido transfontanela</t>
  </si>
  <si>
    <t>Ultrassonografia com dopller das Carótidas</t>
  </si>
  <si>
    <t>Ultrassonografia com dopller cervical</t>
  </si>
  <si>
    <t>Ultrassonografia – Obstétrica gestação múltipla: cada feto</t>
  </si>
  <si>
    <t>Ultrassonografia obstreta morfológica 1º Trimestre</t>
  </si>
  <si>
    <t>Ultrassonografia obstreta morfológica 2º Trimestre</t>
  </si>
  <si>
    <t>Ultrassonografia obstreta morfológica 3º Trimestre</t>
  </si>
  <si>
    <t>Conulta Nefrologia</t>
  </si>
  <si>
    <t>Consulta Neuro pediatra</t>
  </si>
  <si>
    <t>Consulta Nutrologia</t>
  </si>
  <si>
    <t>Consulta Pneumologia</t>
  </si>
  <si>
    <t>Consulta Hematologia</t>
  </si>
  <si>
    <t>Consulta Infectologia</t>
  </si>
  <si>
    <t>Consulta Pediatria</t>
  </si>
  <si>
    <t>RELATÓRIO DE ATENDIMENTO MENSAL</t>
  </si>
  <si>
    <t>20% Taxa Administrativa + 6,79 - Reajuste do Salário Mínimo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</si>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</sst>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sz val="1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1" applyFont="0" applyAlignment="0">
      <alignment horizontal="center" vertical="center"/>
    </xf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/>
    <xf numFmtId="0" fontId="5" fillId="0" borderId="1" xfId="0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 wrapText="1"/>
    </xf>
    <xf numFmtId="44" fontId="3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justify" vertical="center"/>
    </xf>
    <xf numFmtId="0" fontId="6" fillId="0" borderId="1" xfId="0" applyFont="1" applyBorder="1" applyAlignment="1">
      <alignment horizontal="justify" vertical="center"/>
    </xf>
    <xf numFmtId="44" fontId="8" fillId="0" borderId="1" xfId="1" applyFont="1" applyBorder="1" applyAlignment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  <protection locked="0"/>
    </xf>
    <xf numFmtId="44" fontId="8" fillId="0" borderId="1" xfId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justify" vertical="center" wrapText="1"/>
    </xf>
    <xf numFmtId="44" fontId="8" fillId="0" borderId="1" xfId="1" applyFont="1" applyBorder="1" applyAlignment="1">
      <alignment horizontal="center" vertical="center" wrapText="1"/>
    </xf>
    <xf numFmtId="44" fontId="7" fillId="0" borderId="1" xfId="1" applyFont="1" applyBorder="1" applyAlignment="1">
      <alignment vertical="center"/>
    </xf>
    <xf numFmtId="44" fontId="5" fillId="0" borderId="1" xfId="1" applyFont="1" applyFill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4">
    <cellStyle name="Estilo 1" xfId="2" xr:uid="{383C8637-B90B-493D-AA55-65BF151C8B5E}"/>
    <cellStyle name="Moeda" xfId="1" builtinId="4"/>
    <cellStyle name="Normal" xfId="0" builtinId="0"/>
    <cellStyle name="Vírgula 2" xfId="3" xr:uid="{BB72D63B-28E8-49EE-8E5D-0F314BDDFAEB}"/>
  </cellStyles>
  <dxfs count="0"/>
  <tableStyles count="1" defaultTableStyle="TableStyleMedium2" defaultPivotStyle="PivotStyleLight16">
    <tableStyle name="Estilo de Tabela Dinâmica 1" table="0" count="0" xr9:uid="{F2274AE8-64DE-4E30-B9E6-E6EF3ED321B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6D774-2914-4930-9B72-26B94DC18EA5}">
  <sheetPr>
    <pageSetUpPr fitToPage="1"/>
  </sheetPr>
  <dimension ref="A1:J202"/>
  <sheetViews>
    <sheetView tabSelected="1" zoomScaleNormal="100" workbookViewId="0">
      <selection activeCell="G188" sqref="G46:G188"/>
    </sheetView>
  </sheetViews>
  <sheetFormatPr defaultRowHeight="15" x14ac:dyDescent="0.25"/>
  <cols>
    <col min="1" max="1" width="7.5703125" style="2" bestFit="1" customWidth="1"/>
    <col min="2" max="2" width="35.5703125" style="2" customWidth="1"/>
    <col min="3" max="3" width="15.7109375" style="2" bestFit="1" customWidth="1"/>
    <col min="4" max="8" width="18.42578125" style="3" customWidth="1"/>
    <col min="9" max="10" width="18.5703125" style="2" customWidth="1"/>
    <col min="11" max="16384" width="9.140625" style="2"/>
  </cols>
  <sheetData>
    <row r="1" spans="1:10" ht="37.5" customHeight="1" thickBot="1" x14ac:dyDescent="0.3">
      <c r="A1" s="24" t="s">
        <v>209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15.75" thickBot="1" x14ac:dyDescent="0.3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s="1" customFormat="1" ht="49.5" customHeight="1" thickBot="1" x14ac:dyDescent="0.3">
      <c r="A3" s="7" t="s">
        <v>0</v>
      </c>
      <c r="B3" s="7" t="s">
        <v>1</v>
      </c>
      <c r="C3" s="7" t="s">
        <v>2</v>
      </c>
      <c r="D3" s="4" t="s">
        <v>86</v>
      </c>
      <c r="E3" s="4" t="s">
        <v>88</v>
      </c>
      <c r="F3" s="4" t="s">
        <v>89</v>
      </c>
      <c r="G3" s="4" t="s">
        <v>90</v>
      </c>
      <c r="H3" s="4" t="s">
        <v>92</v>
      </c>
      <c r="I3" s="4" t="s">
        <v>87</v>
      </c>
      <c r="J3" s="4" t="s">
        <v>94</v>
      </c>
    </row>
    <row r="4" spans="1:10" s="1" customFormat="1" ht="49.5" customHeight="1" thickBot="1" x14ac:dyDescent="0.3">
      <c r="A4" s="8">
        <v>1</v>
      </c>
      <c r="B4" s="11" t="s">
        <v>71</v>
      </c>
      <c r="C4" s="12">
        <v>86</v>
      </c>
      <c r="D4" s="21" t="s">
        <v>91</v>
      </c>
      <c r="E4" s="22"/>
      <c r="F4" s="9">
        <f>E4*C4</f>
        <v>0</v>
      </c>
      <c r="G4" s="13"/>
      <c r="H4" s="5">
        <f>G4-E4</f>
        <v>0</v>
      </c>
      <c r="I4" s="9">
        <f>G4*C4</f>
        <v>0</v>
      </c>
      <c r="J4" s="9">
        <f>F4-I4</f>
        <v>0</v>
      </c>
    </row>
    <row r="5" spans="1:10" s="1" customFormat="1" ht="49.5" customHeight="1" thickBot="1" x14ac:dyDescent="0.3">
      <c r="A5" s="8">
        <v>2</v>
      </c>
      <c r="B5" s="11" t="s">
        <v>72</v>
      </c>
      <c r="C5" s="12">
        <v>107</v>
      </c>
      <c r="D5" s="21" t="s">
        <v>91</v>
      </c>
      <c r="E5" s="22"/>
      <c r="F5" s="9">
        <f t="shared" ref="F5:F68" si="0">E5*C5</f>
        <v>0</v>
      </c>
      <c r="G5" s="13"/>
      <c r="H5" s="5">
        <f t="shared" ref="H5:H68" si="1">G5-E5</f>
        <v>0</v>
      </c>
      <c r="I5" s="9">
        <f t="shared" ref="I5:I68" si="2">G5*C5</f>
        <v>0</v>
      </c>
      <c r="J5" s="9">
        <f t="shared" ref="J5:J68" si="3">F5-I5</f>
        <v>0</v>
      </c>
    </row>
    <row r="6" spans="1:10" s="1" customFormat="1" ht="49.5" customHeight="1" thickBot="1" x14ac:dyDescent="0.3">
      <c r="A6" s="8">
        <v>3</v>
      </c>
      <c r="B6" s="10" t="s">
        <v>130</v>
      </c>
      <c r="C6" s="12">
        <v>6503</v>
      </c>
      <c r="D6" s="21" t="s">
        <v>91</v>
      </c>
      <c r="E6" s="22"/>
      <c r="F6" s="9">
        <f t="shared" si="0"/>
        <v>0</v>
      </c>
      <c r="G6" s="13"/>
      <c r="H6" s="5">
        <f t="shared" si="1"/>
        <v>0</v>
      </c>
      <c r="I6" s="9">
        <f t="shared" si="2"/>
        <v>0</v>
      </c>
      <c r="J6" s="9">
        <f t="shared" si="3"/>
        <v>0</v>
      </c>
    </row>
    <row r="7" spans="1:10" s="1" customFormat="1" ht="49.5" customHeight="1" thickBot="1" x14ac:dyDescent="0.3">
      <c r="A7" s="8">
        <v>4</v>
      </c>
      <c r="B7" s="10" t="s">
        <v>131</v>
      </c>
      <c r="C7" s="12">
        <v>8454</v>
      </c>
      <c r="D7" s="21" t="s">
        <v>91</v>
      </c>
      <c r="E7" s="22"/>
      <c r="F7" s="9">
        <f t="shared" si="0"/>
        <v>0</v>
      </c>
      <c r="G7" s="13"/>
      <c r="H7" s="5">
        <f t="shared" si="1"/>
        <v>0</v>
      </c>
      <c r="I7" s="9">
        <f t="shared" si="2"/>
        <v>0</v>
      </c>
      <c r="J7" s="9">
        <f t="shared" si="3"/>
        <v>0</v>
      </c>
    </row>
    <row r="8" spans="1:10" s="1" customFormat="1" ht="49.5" customHeight="1" thickBot="1" x14ac:dyDescent="0.3">
      <c r="A8" s="8">
        <v>5</v>
      </c>
      <c r="B8" s="10" t="s">
        <v>38</v>
      </c>
      <c r="C8" s="12">
        <v>226</v>
      </c>
      <c r="D8" s="21" t="s">
        <v>91</v>
      </c>
      <c r="E8" s="22"/>
      <c r="F8" s="9">
        <f t="shared" si="0"/>
        <v>0</v>
      </c>
      <c r="G8" s="13"/>
      <c r="H8" s="5">
        <f t="shared" si="1"/>
        <v>0</v>
      </c>
      <c r="I8" s="9">
        <f t="shared" si="2"/>
        <v>0</v>
      </c>
      <c r="J8" s="9">
        <f t="shared" si="3"/>
        <v>0</v>
      </c>
    </row>
    <row r="9" spans="1:10" s="1" customFormat="1" ht="72" customHeight="1" thickBot="1" x14ac:dyDescent="0.3">
      <c r="A9" s="8">
        <v>6</v>
      </c>
      <c r="B9" s="10" t="s">
        <v>132</v>
      </c>
      <c r="C9" s="12">
        <v>11576</v>
      </c>
      <c r="D9" s="21" t="s">
        <v>91</v>
      </c>
      <c r="E9" s="22"/>
      <c r="F9" s="9">
        <f t="shared" si="0"/>
        <v>0</v>
      </c>
      <c r="G9" s="13"/>
      <c r="H9" s="5">
        <f t="shared" si="1"/>
        <v>0</v>
      </c>
      <c r="I9" s="9">
        <f t="shared" si="2"/>
        <v>0</v>
      </c>
      <c r="J9" s="9">
        <f t="shared" si="3"/>
        <v>0</v>
      </c>
    </row>
    <row r="10" spans="1:10" s="1" customFormat="1" ht="49.5" customHeight="1" thickBot="1" x14ac:dyDescent="0.3">
      <c r="A10" s="8">
        <v>7</v>
      </c>
      <c r="B10" s="10" t="s">
        <v>133</v>
      </c>
      <c r="C10" s="12">
        <v>6503</v>
      </c>
      <c r="D10" s="21" t="s">
        <v>91</v>
      </c>
      <c r="E10" s="22"/>
      <c r="F10" s="9">
        <f t="shared" si="0"/>
        <v>0</v>
      </c>
      <c r="G10" s="13"/>
      <c r="H10" s="5">
        <f t="shared" si="1"/>
        <v>0</v>
      </c>
      <c r="I10" s="9">
        <f t="shared" si="2"/>
        <v>0</v>
      </c>
      <c r="J10" s="9">
        <f t="shared" si="3"/>
        <v>0</v>
      </c>
    </row>
    <row r="11" spans="1:10" s="1" customFormat="1" ht="49.5" customHeight="1" thickBot="1" x14ac:dyDescent="0.3">
      <c r="A11" s="8">
        <v>8</v>
      </c>
      <c r="B11" s="10" t="s">
        <v>39</v>
      </c>
      <c r="C11" s="12">
        <v>150</v>
      </c>
      <c r="D11" s="21" t="s">
        <v>91</v>
      </c>
      <c r="E11" s="22"/>
      <c r="F11" s="9">
        <f t="shared" si="0"/>
        <v>0</v>
      </c>
      <c r="G11" s="13"/>
      <c r="H11" s="5">
        <f t="shared" si="1"/>
        <v>0</v>
      </c>
      <c r="I11" s="9">
        <f t="shared" si="2"/>
        <v>0</v>
      </c>
      <c r="J11" s="9">
        <f t="shared" si="3"/>
        <v>0</v>
      </c>
    </row>
    <row r="12" spans="1:10" s="1" customFormat="1" ht="49.5" customHeight="1" thickBot="1" x14ac:dyDescent="0.3">
      <c r="A12" s="8">
        <v>9</v>
      </c>
      <c r="B12" s="10" t="s">
        <v>40</v>
      </c>
      <c r="C12" s="12">
        <v>450</v>
      </c>
      <c r="D12" s="21" t="s">
        <v>91</v>
      </c>
      <c r="E12" s="22"/>
      <c r="F12" s="9">
        <f t="shared" si="0"/>
        <v>0</v>
      </c>
      <c r="G12" s="13"/>
      <c r="H12" s="5">
        <f t="shared" si="1"/>
        <v>0</v>
      </c>
      <c r="I12" s="9">
        <f t="shared" si="2"/>
        <v>0</v>
      </c>
      <c r="J12" s="9">
        <f t="shared" si="3"/>
        <v>0</v>
      </c>
    </row>
    <row r="13" spans="1:10" s="1" customFormat="1" ht="49.5" customHeight="1" thickBot="1" x14ac:dyDescent="0.3">
      <c r="A13" s="8">
        <v>10</v>
      </c>
      <c r="B13" s="10" t="s">
        <v>100</v>
      </c>
      <c r="C13" s="12">
        <v>81</v>
      </c>
      <c r="D13" s="21" t="s">
        <v>91</v>
      </c>
      <c r="E13" s="22"/>
      <c r="F13" s="9">
        <f t="shared" si="0"/>
        <v>0</v>
      </c>
      <c r="G13" s="13"/>
      <c r="H13" s="5">
        <f t="shared" si="1"/>
        <v>0</v>
      </c>
      <c r="I13" s="9">
        <f t="shared" si="2"/>
        <v>0</v>
      </c>
      <c r="J13" s="9">
        <f t="shared" si="3"/>
        <v>0</v>
      </c>
    </row>
    <row r="14" spans="1:10" s="1" customFormat="1" ht="49.5" customHeight="1" thickBot="1" x14ac:dyDescent="0.3">
      <c r="A14" s="8">
        <v>11</v>
      </c>
      <c r="B14" s="10" t="s">
        <v>3</v>
      </c>
      <c r="C14" s="12">
        <v>81</v>
      </c>
      <c r="D14" s="21" t="s">
        <v>91</v>
      </c>
      <c r="E14" s="22"/>
      <c r="F14" s="9">
        <f t="shared" si="0"/>
        <v>0</v>
      </c>
      <c r="G14" s="13"/>
      <c r="H14" s="5">
        <f t="shared" si="1"/>
        <v>0</v>
      </c>
      <c r="I14" s="9">
        <f t="shared" si="2"/>
        <v>0</v>
      </c>
      <c r="J14" s="9">
        <f t="shared" si="3"/>
        <v>0</v>
      </c>
    </row>
    <row r="15" spans="1:10" s="1" customFormat="1" ht="49.5" customHeight="1" thickBot="1" x14ac:dyDescent="0.3">
      <c r="A15" s="8">
        <v>12</v>
      </c>
      <c r="B15" s="10" t="s">
        <v>41</v>
      </c>
      <c r="C15" s="12">
        <v>57</v>
      </c>
      <c r="D15" s="21" t="s">
        <v>91</v>
      </c>
      <c r="E15" s="22"/>
      <c r="F15" s="9">
        <f t="shared" si="0"/>
        <v>0</v>
      </c>
      <c r="G15" s="13"/>
      <c r="H15" s="5">
        <f t="shared" si="1"/>
        <v>0</v>
      </c>
      <c r="I15" s="9">
        <f t="shared" si="2"/>
        <v>0</v>
      </c>
      <c r="J15" s="9">
        <f t="shared" si="3"/>
        <v>0</v>
      </c>
    </row>
    <row r="16" spans="1:10" s="1" customFormat="1" ht="49.5" customHeight="1" thickBot="1" x14ac:dyDescent="0.3">
      <c r="A16" s="8">
        <v>13</v>
      </c>
      <c r="B16" s="10" t="s">
        <v>42</v>
      </c>
      <c r="C16" s="12">
        <v>5590</v>
      </c>
      <c r="D16" s="21" t="s">
        <v>91</v>
      </c>
      <c r="E16" s="22"/>
      <c r="F16" s="9">
        <f t="shared" si="0"/>
        <v>0</v>
      </c>
      <c r="G16" s="13"/>
      <c r="H16" s="5">
        <f t="shared" si="1"/>
        <v>0</v>
      </c>
      <c r="I16" s="9">
        <f t="shared" si="2"/>
        <v>0</v>
      </c>
      <c r="J16" s="9">
        <f t="shared" si="3"/>
        <v>0</v>
      </c>
    </row>
    <row r="17" spans="1:10" s="1" customFormat="1" ht="49.5" customHeight="1" thickBot="1" x14ac:dyDescent="0.3">
      <c r="A17" s="8">
        <v>14</v>
      </c>
      <c r="B17" s="10" t="s">
        <v>43</v>
      </c>
      <c r="C17" s="12">
        <v>4030</v>
      </c>
      <c r="D17" s="21" t="s">
        <v>91</v>
      </c>
      <c r="E17" s="22"/>
      <c r="F17" s="9">
        <f t="shared" si="0"/>
        <v>0</v>
      </c>
      <c r="G17" s="13"/>
      <c r="H17" s="5">
        <f t="shared" si="1"/>
        <v>0</v>
      </c>
      <c r="I17" s="9">
        <f t="shared" si="2"/>
        <v>0</v>
      </c>
      <c r="J17" s="9">
        <f t="shared" si="3"/>
        <v>0</v>
      </c>
    </row>
    <row r="18" spans="1:10" s="1" customFormat="1" ht="49.5" customHeight="1" thickBot="1" x14ac:dyDescent="0.3">
      <c r="A18" s="8">
        <v>15</v>
      </c>
      <c r="B18" s="10" t="s">
        <v>44</v>
      </c>
      <c r="C18" s="12">
        <v>2257</v>
      </c>
      <c r="D18" s="21" t="s">
        <v>91</v>
      </c>
      <c r="E18" s="22"/>
      <c r="F18" s="9">
        <f t="shared" si="0"/>
        <v>0</v>
      </c>
      <c r="G18" s="13"/>
      <c r="H18" s="5">
        <f t="shared" si="1"/>
        <v>0</v>
      </c>
      <c r="I18" s="9">
        <f t="shared" si="2"/>
        <v>0</v>
      </c>
      <c r="J18" s="9">
        <f t="shared" si="3"/>
        <v>0</v>
      </c>
    </row>
    <row r="19" spans="1:10" s="1" customFormat="1" ht="49.5" customHeight="1" thickBot="1" x14ac:dyDescent="0.3">
      <c r="A19" s="8">
        <v>16</v>
      </c>
      <c r="B19" s="10" t="s">
        <v>45</v>
      </c>
      <c r="C19" s="12">
        <v>5590</v>
      </c>
      <c r="D19" s="21" t="s">
        <v>91</v>
      </c>
      <c r="E19" s="22"/>
      <c r="F19" s="9">
        <f t="shared" si="0"/>
        <v>0</v>
      </c>
      <c r="G19" s="13"/>
      <c r="H19" s="5">
        <f t="shared" si="1"/>
        <v>0</v>
      </c>
      <c r="I19" s="9">
        <f t="shared" si="2"/>
        <v>0</v>
      </c>
      <c r="J19" s="9">
        <f t="shared" si="3"/>
        <v>0</v>
      </c>
    </row>
    <row r="20" spans="1:10" s="1" customFormat="1" ht="49.5" customHeight="1" thickBot="1" x14ac:dyDescent="0.3">
      <c r="A20" s="8">
        <v>17</v>
      </c>
      <c r="B20" s="10" t="s">
        <v>46</v>
      </c>
      <c r="C20" s="12">
        <v>57</v>
      </c>
      <c r="D20" s="21" t="s">
        <v>91</v>
      </c>
      <c r="E20" s="22"/>
      <c r="F20" s="9">
        <f t="shared" si="0"/>
        <v>0</v>
      </c>
      <c r="G20" s="13"/>
      <c r="H20" s="5">
        <f t="shared" si="1"/>
        <v>0</v>
      </c>
      <c r="I20" s="9">
        <f t="shared" si="2"/>
        <v>0</v>
      </c>
      <c r="J20" s="9">
        <f t="shared" si="3"/>
        <v>0</v>
      </c>
    </row>
    <row r="21" spans="1:10" s="1" customFormat="1" ht="49.5" customHeight="1" thickBot="1" x14ac:dyDescent="0.3">
      <c r="A21" s="8">
        <v>18</v>
      </c>
      <c r="B21" s="10" t="s">
        <v>47</v>
      </c>
      <c r="C21" s="12">
        <v>57</v>
      </c>
      <c r="D21" s="21" t="s">
        <v>91</v>
      </c>
      <c r="E21" s="22"/>
      <c r="F21" s="9">
        <f t="shared" si="0"/>
        <v>0</v>
      </c>
      <c r="G21" s="13"/>
      <c r="H21" s="5">
        <f t="shared" si="1"/>
        <v>0</v>
      </c>
      <c r="I21" s="9">
        <f t="shared" si="2"/>
        <v>0</v>
      </c>
      <c r="J21" s="9">
        <f t="shared" si="3"/>
        <v>0</v>
      </c>
    </row>
    <row r="22" spans="1:10" s="1" customFormat="1" ht="49.5" customHeight="1" thickBot="1" x14ac:dyDescent="0.3">
      <c r="A22" s="8">
        <v>19</v>
      </c>
      <c r="B22" s="10" t="s">
        <v>117</v>
      </c>
      <c r="C22" s="12">
        <v>115</v>
      </c>
      <c r="D22" s="21" t="s">
        <v>211</v>
      </c>
      <c r="E22" s="22">
        <v>1</v>
      </c>
      <c r="F22" s="9">
        <f t="shared" si="0"/>
        <v>115</v>
      </c>
      <c r="G22" s="13"/>
      <c r="H22" s="5">
        <f t="shared" si="1"/>
        <v>-1</v>
      </c>
      <c r="I22" s="9">
        <f t="shared" si="2"/>
        <v>0</v>
      </c>
      <c r="J22" s="9">
        <f t="shared" si="3"/>
        <v>115</v>
      </c>
    </row>
    <row r="23" spans="1:10" s="1" customFormat="1" ht="49.5" customHeight="1" thickBot="1" x14ac:dyDescent="0.3">
      <c r="A23" s="8">
        <v>20</v>
      </c>
      <c r="B23" s="10" t="s">
        <v>118</v>
      </c>
      <c r="C23" s="12">
        <v>115</v>
      </c>
      <c r="D23" s="21" t="s">
        <v>211</v>
      </c>
      <c r="E23" s="22">
        <v>1</v>
      </c>
      <c r="F23" s="9">
        <f t="shared" si="0"/>
        <v>115</v>
      </c>
      <c r="G23" s="13"/>
      <c r="H23" s="5">
        <f t="shared" si="1"/>
        <v>-1</v>
      </c>
      <c r="I23" s="9">
        <f t="shared" si="2"/>
        <v>0</v>
      </c>
      <c r="J23" s="9">
        <f t="shared" si="3"/>
        <v>115</v>
      </c>
    </row>
    <row r="24" spans="1:10" s="1" customFormat="1" ht="49.5" customHeight="1" thickBot="1" x14ac:dyDescent="0.3">
      <c r="A24" s="8">
        <v>21</v>
      </c>
      <c r="B24" s="10" t="s">
        <v>119</v>
      </c>
      <c r="C24" s="12">
        <v>115</v>
      </c>
      <c r="D24" s="21" t="s">
        <v>211</v>
      </c>
      <c r="E24" s="22">
        <v>1</v>
      </c>
      <c r="F24" s="9">
        <f t="shared" si="0"/>
        <v>115</v>
      </c>
      <c r="G24" s="13"/>
      <c r="H24" s="5">
        <f t="shared" si="1"/>
        <v>-1</v>
      </c>
      <c r="I24" s="9">
        <f t="shared" si="2"/>
        <v>0</v>
      </c>
      <c r="J24" s="9">
        <f t="shared" si="3"/>
        <v>115</v>
      </c>
    </row>
    <row r="25" spans="1:10" s="1" customFormat="1" ht="187.5" customHeight="1" thickBot="1" x14ac:dyDescent="0.3">
      <c r="A25" s="8">
        <v>22</v>
      </c>
      <c r="B25" s="10" t="s">
        <v>48</v>
      </c>
      <c r="C25" s="12">
        <v>350</v>
      </c>
      <c r="D25" s="21" t="s">
        <v>91</v>
      </c>
      <c r="E25" s="22"/>
      <c r="F25" s="9">
        <f t="shared" si="0"/>
        <v>0</v>
      </c>
      <c r="G25" s="13"/>
      <c r="H25" s="5">
        <f t="shared" si="1"/>
        <v>0</v>
      </c>
      <c r="I25" s="9">
        <f t="shared" si="2"/>
        <v>0</v>
      </c>
      <c r="J25" s="9">
        <f t="shared" si="3"/>
        <v>0</v>
      </c>
    </row>
    <row r="26" spans="1:10" s="1" customFormat="1" ht="49.5" customHeight="1" thickBot="1" x14ac:dyDescent="0.3">
      <c r="A26" s="8">
        <v>23</v>
      </c>
      <c r="B26" s="10" t="s">
        <v>4</v>
      </c>
      <c r="C26" s="12">
        <v>80</v>
      </c>
      <c r="D26" s="21" t="s">
        <v>91</v>
      </c>
      <c r="E26" s="22"/>
      <c r="F26" s="9">
        <f t="shared" si="0"/>
        <v>0</v>
      </c>
      <c r="G26" s="13"/>
      <c r="H26" s="5">
        <f t="shared" si="1"/>
        <v>0</v>
      </c>
      <c r="I26" s="9">
        <f t="shared" si="2"/>
        <v>0</v>
      </c>
      <c r="J26" s="9">
        <f t="shared" si="3"/>
        <v>0</v>
      </c>
    </row>
    <row r="27" spans="1:10" s="1" customFormat="1" ht="49.5" customHeight="1" thickBot="1" x14ac:dyDescent="0.3">
      <c r="A27" s="8">
        <v>24</v>
      </c>
      <c r="B27" s="10" t="s">
        <v>5</v>
      </c>
      <c r="C27" s="12">
        <v>3200</v>
      </c>
      <c r="D27" s="21" t="s">
        <v>91</v>
      </c>
      <c r="E27" s="22"/>
      <c r="F27" s="9">
        <f t="shared" si="0"/>
        <v>0</v>
      </c>
      <c r="G27" s="13"/>
      <c r="H27" s="5">
        <f t="shared" si="1"/>
        <v>0</v>
      </c>
      <c r="I27" s="9">
        <f t="shared" si="2"/>
        <v>0</v>
      </c>
      <c r="J27" s="9">
        <f t="shared" si="3"/>
        <v>0</v>
      </c>
    </row>
    <row r="28" spans="1:10" s="1" customFormat="1" ht="49.5" customHeight="1" thickBot="1" x14ac:dyDescent="0.3">
      <c r="A28" s="8">
        <v>25</v>
      </c>
      <c r="B28" s="10" t="s">
        <v>49</v>
      </c>
      <c r="C28" s="12">
        <v>215</v>
      </c>
      <c r="D28" s="21" t="s">
        <v>91</v>
      </c>
      <c r="E28" s="22"/>
      <c r="F28" s="9">
        <f t="shared" si="0"/>
        <v>0</v>
      </c>
      <c r="G28" s="13"/>
      <c r="H28" s="5">
        <f t="shared" si="1"/>
        <v>0</v>
      </c>
      <c r="I28" s="9">
        <f t="shared" si="2"/>
        <v>0</v>
      </c>
      <c r="J28" s="9">
        <f t="shared" si="3"/>
        <v>0</v>
      </c>
    </row>
    <row r="29" spans="1:10" s="1" customFormat="1" ht="49.5" customHeight="1" thickBot="1" x14ac:dyDescent="0.3">
      <c r="A29" s="8">
        <v>26</v>
      </c>
      <c r="B29" s="10" t="s">
        <v>50</v>
      </c>
      <c r="C29" s="12">
        <v>650</v>
      </c>
      <c r="D29" s="21" t="s">
        <v>91</v>
      </c>
      <c r="E29" s="22"/>
      <c r="F29" s="9">
        <f t="shared" si="0"/>
        <v>0</v>
      </c>
      <c r="G29" s="13"/>
      <c r="H29" s="5">
        <f t="shared" si="1"/>
        <v>0</v>
      </c>
      <c r="I29" s="9">
        <f t="shared" si="2"/>
        <v>0</v>
      </c>
      <c r="J29" s="9">
        <f t="shared" si="3"/>
        <v>0</v>
      </c>
    </row>
    <row r="30" spans="1:10" s="1" customFormat="1" ht="49.5" customHeight="1" thickBot="1" x14ac:dyDescent="0.3">
      <c r="A30" s="8">
        <v>27</v>
      </c>
      <c r="B30" s="10" t="s">
        <v>51</v>
      </c>
      <c r="C30" s="12">
        <v>218</v>
      </c>
      <c r="D30" s="21" t="s">
        <v>91</v>
      </c>
      <c r="E30" s="22"/>
      <c r="F30" s="9">
        <f t="shared" si="0"/>
        <v>0</v>
      </c>
      <c r="G30" s="13"/>
      <c r="H30" s="5">
        <f t="shared" si="1"/>
        <v>0</v>
      </c>
      <c r="I30" s="9">
        <f t="shared" si="2"/>
        <v>0</v>
      </c>
      <c r="J30" s="9">
        <f t="shared" si="3"/>
        <v>0</v>
      </c>
    </row>
    <row r="31" spans="1:10" s="1" customFormat="1" ht="49.5" customHeight="1" thickBot="1" x14ac:dyDescent="0.3">
      <c r="A31" s="8">
        <v>28</v>
      </c>
      <c r="B31" s="10" t="s">
        <v>120</v>
      </c>
      <c r="C31" s="12">
        <v>64</v>
      </c>
      <c r="D31" s="21" t="s">
        <v>91</v>
      </c>
      <c r="E31" s="22"/>
      <c r="F31" s="9">
        <f t="shared" si="0"/>
        <v>0</v>
      </c>
      <c r="G31" s="13"/>
      <c r="H31" s="5">
        <f t="shared" si="1"/>
        <v>0</v>
      </c>
      <c r="I31" s="9">
        <f t="shared" si="2"/>
        <v>0</v>
      </c>
      <c r="J31" s="9">
        <f t="shared" si="3"/>
        <v>0</v>
      </c>
    </row>
    <row r="32" spans="1:10" s="1" customFormat="1" ht="49.5" customHeight="1" thickBot="1" x14ac:dyDescent="0.3">
      <c r="A32" s="8">
        <v>29</v>
      </c>
      <c r="B32" s="10" t="s">
        <v>134</v>
      </c>
      <c r="C32" s="12">
        <v>11000</v>
      </c>
      <c r="D32" s="21" t="s">
        <v>91</v>
      </c>
      <c r="E32" s="22"/>
      <c r="F32" s="9">
        <f t="shared" si="0"/>
        <v>0</v>
      </c>
      <c r="G32" s="13"/>
      <c r="H32" s="5">
        <f t="shared" si="1"/>
        <v>0</v>
      </c>
      <c r="I32" s="9">
        <f t="shared" si="2"/>
        <v>0</v>
      </c>
      <c r="J32" s="9">
        <f t="shared" si="3"/>
        <v>0</v>
      </c>
    </row>
    <row r="33" spans="1:10" s="1" customFormat="1" ht="49.5" customHeight="1" thickBot="1" x14ac:dyDescent="0.3">
      <c r="A33" s="8">
        <v>30</v>
      </c>
      <c r="B33" s="10" t="s">
        <v>135</v>
      </c>
      <c r="C33" s="12">
        <v>1000</v>
      </c>
      <c r="D33" s="21" t="s">
        <v>91</v>
      </c>
      <c r="E33" s="22"/>
      <c r="F33" s="9">
        <f t="shared" si="0"/>
        <v>0</v>
      </c>
      <c r="G33" s="13"/>
      <c r="H33" s="5">
        <f t="shared" si="1"/>
        <v>0</v>
      </c>
      <c r="I33" s="9">
        <f t="shared" si="2"/>
        <v>0</v>
      </c>
      <c r="J33" s="9">
        <f t="shared" si="3"/>
        <v>0</v>
      </c>
    </row>
    <row r="34" spans="1:10" s="1" customFormat="1" ht="49.5" customHeight="1" thickBot="1" x14ac:dyDescent="0.3">
      <c r="A34" s="8">
        <v>31</v>
      </c>
      <c r="B34" s="10" t="s">
        <v>136</v>
      </c>
      <c r="C34" s="12">
        <v>107</v>
      </c>
      <c r="D34" s="21" t="s">
        <v>211</v>
      </c>
      <c r="E34" s="22">
        <v>2</v>
      </c>
      <c r="F34" s="9">
        <f t="shared" si="0"/>
        <v>214</v>
      </c>
      <c r="G34" s="13"/>
      <c r="H34" s="5">
        <f t="shared" si="1"/>
        <v>-2</v>
      </c>
      <c r="I34" s="9">
        <f t="shared" si="2"/>
        <v>0</v>
      </c>
      <c r="J34" s="9">
        <f t="shared" si="3"/>
        <v>214</v>
      </c>
    </row>
    <row r="35" spans="1:10" s="1" customFormat="1" ht="49.5" customHeight="1" thickBot="1" x14ac:dyDescent="0.3">
      <c r="A35" s="8">
        <v>32</v>
      </c>
      <c r="B35" s="10" t="s">
        <v>137</v>
      </c>
      <c r="C35" s="12">
        <v>10500</v>
      </c>
      <c r="D35" s="21" t="s">
        <v>91</v>
      </c>
      <c r="E35" s="22"/>
      <c r="F35" s="9">
        <f t="shared" si="0"/>
        <v>0</v>
      </c>
      <c r="G35" s="13"/>
      <c r="H35" s="5">
        <f t="shared" si="1"/>
        <v>0</v>
      </c>
      <c r="I35" s="9">
        <f t="shared" si="2"/>
        <v>0</v>
      </c>
      <c r="J35" s="9">
        <f t="shared" si="3"/>
        <v>0</v>
      </c>
    </row>
    <row r="36" spans="1:10" s="1" customFormat="1" ht="49.5" customHeight="1" thickBot="1" x14ac:dyDescent="0.3">
      <c r="A36" s="8">
        <v>33</v>
      </c>
      <c r="B36" s="10" t="s">
        <v>138</v>
      </c>
      <c r="C36" s="12">
        <v>1100</v>
      </c>
      <c r="D36" s="21" t="s">
        <v>91</v>
      </c>
      <c r="E36" s="22"/>
      <c r="F36" s="9">
        <f t="shared" si="0"/>
        <v>0</v>
      </c>
      <c r="G36" s="13"/>
      <c r="H36" s="5">
        <f t="shared" si="1"/>
        <v>0</v>
      </c>
      <c r="I36" s="9">
        <f t="shared" si="2"/>
        <v>0</v>
      </c>
      <c r="J36" s="9">
        <f t="shared" si="3"/>
        <v>0</v>
      </c>
    </row>
    <row r="37" spans="1:10" customFormat="1" ht="49.5" customHeight="1" thickBot="1" x14ac:dyDescent="0.3">
      <c r="A37" s="8">
        <v>34</v>
      </c>
      <c r="B37" s="10" t="s">
        <v>68</v>
      </c>
      <c r="C37" s="12">
        <v>698</v>
      </c>
      <c r="D37" s="21" t="s">
        <v>91</v>
      </c>
      <c r="E37" s="22"/>
      <c r="F37" s="9">
        <f t="shared" si="0"/>
        <v>0</v>
      </c>
      <c r="G37" s="13"/>
      <c r="H37" s="5">
        <f t="shared" si="1"/>
        <v>0</v>
      </c>
      <c r="I37" s="9">
        <f t="shared" si="2"/>
        <v>0</v>
      </c>
      <c r="J37" s="9">
        <f t="shared" si="3"/>
        <v>0</v>
      </c>
    </row>
    <row r="38" spans="1:10" customFormat="1" ht="72.75" customHeight="1" thickBot="1" x14ac:dyDescent="0.3">
      <c r="A38" s="8">
        <v>35</v>
      </c>
      <c r="B38" s="10" t="s">
        <v>139</v>
      </c>
      <c r="C38" s="12">
        <v>20500</v>
      </c>
      <c r="D38" s="21" t="s">
        <v>91</v>
      </c>
      <c r="E38" s="22"/>
      <c r="F38" s="9">
        <f t="shared" si="0"/>
        <v>0</v>
      </c>
      <c r="G38" s="13"/>
      <c r="H38" s="5">
        <f t="shared" si="1"/>
        <v>0</v>
      </c>
      <c r="I38" s="9">
        <f t="shared" si="2"/>
        <v>0</v>
      </c>
      <c r="J38" s="9">
        <f t="shared" si="3"/>
        <v>0</v>
      </c>
    </row>
    <row r="39" spans="1:10" customFormat="1" ht="49.5" customHeight="1" thickBot="1" x14ac:dyDescent="0.3">
      <c r="A39" s="8">
        <v>36</v>
      </c>
      <c r="B39" s="10" t="s">
        <v>140</v>
      </c>
      <c r="C39" s="12">
        <v>3000</v>
      </c>
      <c r="D39" s="21" t="s">
        <v>91</v>
      </c>
      <c r="E39" s="22"/>
      <c r="F39" s="9">
        <f t="shared" si="0"/>
        <v>0</v>
      </c>
      <c r="G39" s="13"/>
      <c r="H39" s="5">
        <f t="shared" si="1"/>
        <v>0</v>
      </c>
      <c r="I39" s="9">
        <f t="shared" si="2"/>
        <v>0</v>
      </c>
      <c r="J39" s="9">
        <f t="shared" si="3"/>
        <v>0</v>
      </c>
    </row>
    <row r="40" spans="1:10" customFormat="1" ht="63.75" customHeight="1" thickBot="1" x14ac:dyDescent="0.3">
      <c r="A40" s="8">
        <v>37</v>
      </c>
      <c r="B40" s="10" t="s">
        <v>141</v>
      </c>
      <c r="C40" s="12">
        <v>5000</v>
      </c>
      <c r="D40" s="21" t="s">
        <v>91</v>
      </c>
      <c r="E40" s="22"/>
      <c r="F40" s="9">
        <f t="shared" si="0"/>
        <v>0</v>
      </c>
      <c r="G40" s="13"/>
      <c r="H40" s="5">
        <f t="shared" si="1"/>
        <v>0</v>
      </c>
      <c r="I40" s="9">
        <f t="shared" si="2"/>
        <v>0</v>
      </c>
      <c r="J40" s="9">
        <f t="shared" si="3"/>
        <v>0</v>
      </c>
    </row>
    <row r="41" spans="1:10" customFormat="1" ht="49.5" customHeight="1" thickBot="1" x14ac:dyDescent="0.3">
      <c r="A41" s="8">
        <v>38</v>
      </c>
      <c r="B41" s="10" t="s">
        <v>142</v>
      </c>
      <c r="C41" s="12">
        <v>537</v>
      </c>
      <c r="D41" s="21" t="s">
        <v>91</v>
      </c>
      <c r="E41" s="22"/>
      <c r="F41" s="9">
        <f t="shared" si="0"/>
        <v>0</v>
      </c>
      <c r="G41" s="13"/>
      <c r="H41" s="5">
        <f t="shared" si="1"/>
        <v>0</v>
      </c>
      <c r="I41" s="9">
        <f t="shared" si="2"/>
        <v>0</v>
      </c>
      <c r="J41" s="9">
        <f t="shared" si="3"/>
        <v>0</v>
      </c>
    </row>
    <row r="42" spans="1:10" customFormat="1" ht="49.5" customHeight="1" thickBot="1" x14ac:dyDescent="0.3">
      <c r="A42" s="8">
        <v>39</v>
      </c>
      <c r="B42" s="10" t="s">
        <v>143</v>
      </c>
      <c r="C42" s="12">
        <v>1075</v>
      </c>
      <c r="D42" s="21" t="s">
        <v>91</v>
      </c>
      <c r="E42" s="22"/>
      <c r="F42" s="9">
        <f t="shared" si="0"/>
        <v>0</v>
      </c>
      <c r="G42" s="13"/>
      <c r="H42" s="5">
        <f t="shared" si="1"/>
        <v>0</v>
      </c>
      <c r="I42" s="9">
        <f t="shared" si="2"/>
        <v>0</v>
      </c>
      <c r="J42" s="9">
        <f t="shared" si="3"/>
        <v>0</v>
      </c>
    </row>
    <row r="43" spans="1:10" customFormat="1" ht="49.5" customHeight="1" thickBot="1" x14ac:dyDescent="0.3">
      <c r="A43" s="8">
        <v>40</v>
      </c>
      <c r="B43" s="10" t="s">
        <v>144</v>
      </c>
      <c r="C43" s="12">
        <v>4800</v>
      </c>
      <c r="D43" s="21" t="s">
        <v>91</v>
      </c>
      <c r="E43" s="22"/>
      <c r="F43" s="9">
        <f t="shared" si="0"/>
        <v>0</v>
      </c>
      <c r="G43" s="13"/>
      <c r="H43" s="5">
        <f t="shared" si="1"/>
        <v>0</v>
      </c>
      <c r="I43" s="9">
        <f t="shared" si="2"/>
        <v>0</v>
      </c>
      <c r="J43" s="9">
        <f t="shared" si="3"/>
        <v>0</v>
      </c>
    </row>
    <row r="44" spans="1:10" customFormat="1" ht="49.5" customHeight="1" thickBot="1" x14ac:dyDescent="0.3">
      <c r="A44" s="8">
        <v>41</v>
      </c>
      <c r="B44" s="10" t="s">
        <v>6</v>
      </c>
      <c r="C44" s="12">
        <v>53</v>
      </c>
      <c r="D44" s="21" t="s">
        <v>211</v>
      </c>
      <c r="E44" s="22">
        <v>3</v>
      </c>
      <c r="F44" s="9">
        <f t="shared" si="0"/>
        <v>159</v>
      </c>
      <c r="G44" s="13"/>
      <c r="H44" s="5">
        <f t="shared" si="1"/>
        <v>-3</v>
      </c>
      <c r="I44" s="9">
        <f t="shared" si="2"/>
        <v>0</v>
      </c>
      <c r="J44" s="9">
        <f t="shared" si="3"/>
        <v>159</v>
      </c>
    </row>
    <row r="45" spans="1:10" customFormat="1" ht="49.5" customHeight="1" thickBot="1" x14ac:dyDescent="0.3">
      <c r="A45" s="8">
        <v>42</v>
      </c>
      <c r="B45" s="10" t="s">
        <v>121</v>
      </c>
      <c r="C45" s="12">
        <v>500</v>
      </c>
      <c r="D45" s="21" t="s">
        <v>91</v>
      </c>
      <c r="E45" s="22"/>
      <c r="F45" s="9">
        <f t="shared" si="0"/>
        <v>0</v>
      </c>
      <c r="G45" s="13"/>
      <c r="H45" s="5">
        <f t="shared" si="1"/>
        <v>0</v>
      </c>
      <c r="I45" s="9">
        <f t="shared" si="2"/>
        <v>0</v>
      </c>
      <c r="J45" s="9">
        <f t="shared" si="3"/>
        <v>0</v>
      </c>
    </row>
    <row r="46" spans="1:10" customFormat="1" ht="49.5" customHeight="1" thickBot="1" x14ac:dyDescent="0.3">
      <c r="A46" s="8">
        <v>43</v>
      </c>
      <c r="B46" s="11" t="s">
        <v>73</v>
      </c>
      <c r="C46" s="12">
        <v>96</v>
      </c>
      <c r="D46" s="21" t="s">
        <v>211</v>
      </c>
      <c r="E46" s="22">
        <v>10</v>
      </c>
      <c r="F46" s="9">
        <f t="shared" si="0"/>
        <v>960</v>
      </c>
      <c r="G46" s="13"/>
      <c r="H46" s="5">
        <f t="shared" si="1"/>
        <v>-10</v>
      </c>
      <c r="I46" s="9">
        <f t="shared" si="2"/>
        <v>0</v>
      </c>
      <c r="J46" s="9">
        <f t="shared" si="3"/>
        <v>960</v>
      </c>
    </row>
    <row r="47" spans="1:10" customFormat="1" ht="49.5" customHeight="1" thickBot="1" x14ac:dyDescent="0.3">
      <c r="A47" s="8">
        <v>44</v>
      </c>
      <c r="B47" s="11" t="s">
        <v>170</v>
      </c>
      <c r="C47" s="12">
        <v>96</v>
      </c>
      <c r="D47" s="21" t="s">
        <v>91</v>
      </c>
      <c r="E47" s="22"/>
      <c r="F47" s="9">
        <f t="shared" si="0"/>
        <v>0</v>
      </c>
      <c r="G47" s="13"/>
      <c r="H47" s="5">
        <f t="shared" si="1"/>
        <v>0</v>
      </c>
      <c r="I47" s="9">
        <f t="shared" si="2"/>
        <v>0</v>
      </c>
      <c r="J47" s="9">
        <f t="shared" si="3"/>
        <v>0</v>
      </c>
    </row>
    <row r="48" spans="1:10" customFormat="1" ht="49.5" customHeight="1" thickBot="1" x14ac:dyDescent="0.3">
      <c r="A48" s="8">
        <v>45</v>
      </c>
      <c r="B48" s="11" t="s">
        <v>74</v>
      </c>
      <c r="C48" s="12">
        <v>96</v>
      </c>
      <c r="D48" s="21" t="s">
        <v>91</v>
      </c>
      <c r="E48" s="22"/>
      <c r="F48" s="9">
        <f t="shared" si="0"/>
        <v>0</v>
      </c>
      <c r="G48" s="13"/>
      <c r="H48" s="5">
        <f t="shared" si="1"/>
        <v>0</v>
      </c>
      <c r="I48" s="9">
        <f t="shared" si="2"/>
        <v>0</v>
      </c>
      <c r="J48" s="9">
        <f t="shared" si="3"/>
        <v>0</v>
      </c>
    </row>
    <row r="49" spans="1:10" customFormat="1" ht="49.5" customHeight="1" thickBot="1" x14ac:dyDescent="0.3">
      <c r="A49" s="8">
        <v>46</v>
      </c>
      <c r="B49" s="11" t="s">
        <v>75</v>
      </c>
      <c r="C49" s="12">
        <v>96</v>
      </c>
      <c r="D49" s="21" t="s">
        <v>211</v>
      </c>
      <c r="E49" s="22">
        <v>10</v>
      </c>
      <c r="F49" s="9">
        <f t="shared" si="0"/>
        <v>960</v>
      </c>
      <c r="G49" s="13"/>
      <c r="H49" s="5">
        <f t="shared" si="1"/>
        <v>-10</v>
      </c>
      <c r="I49" s="9">
        <f t="shared" si="2"/>
        <v>0</v>
      </c>
      <c r="J49" s="9">
        <f t="shared" si="3"/>
        <v>960</v>
      </c>
    </row>
    <row r="50" spans="1:10" customFormat="1" ht="49.5" customHeight="1" thickBot="1" x14ac:dyDescent="0.3">
      <c r="A50" s="8">
        <v>47</v>
      </c>
      <c r="B50" s="11" t="s">
        <v>173</v>
      </c>
      <c r="C50" s="12">
        <v>96</v>
      </c>
      <c r="D50" s="21" t="s">
        <v>211</v>
      </c>
      <c r="E50" s="22">
        <v>10</v>
      </c>
      <c r="F50" s="9">
        <f t="shared" si="0"/>
        <v>960</v>
      </c>
      <c r="G50" s="13"/>
      <c r="H50" s="5">
        <f t="shared" si="1"/>
        <v>-10</v>
      </c>
      <c r="I50" s="9">
        <f t="shared" si="2"/>
        <v>0</v>
      </c>
      <c r="J50" s="9">
        <f t="shared" si="3"/>
        <v>960</v>
      </c>
    </row>
    <row r="51" spans="1:10" customFormat="1" ht="49.5" customHeight="1" thickBot="1" x14ac:dyDescent="0.3">
      <c r="A51" s="8">
        <v>48</v>
      </c>
      <c r="B51" s="11" t="s">
        <v>171</v>
      </c>
      <c r="C51" s="12">
        <v>96</v>
      </c>
      <c r="D51" s="21" t="s">
        <v>211</v>
      </c>
      <c r="E51" s="22">
        <v>40</v>
      </c>
      <c r="F51" s="9">
        <f t="shared" si="0"/>
        <v>3840</v>
      </c>
      <c r="G51" s="13"/>
      <c r="H51" s="5">
        <f t="shared" si="1"/>
        <v>-40</v>
      </c>
      <c r="I51" s="9">
        <f t="shared" si="2"/>
        <v>0</v>
      </c>
      <c r="J51" s="9">
        <f t="shared" si="3"/>
        <v>3840</v>
      </c>
    </row>
    <row r="52" spans="1:10" customFormat="1" ht="49.5" customHeight="1" thickBot="1" x14ac:dyDescent="0.3">
      <c r="A52" s="8">
        <v>49</v>
      </c>
      <c r="B52" s="11" t="s">
        <v>76</v>
      </c>
      <c r="C52" s="12">
        <v>96</v>
      </c>
      <c r="D52" s="21" t="s">
        <v>211</v>
      </c>
      <c r="E52" s="22">
        <v>5</v>
      </c>
      <c r="F52" s="9">
        <f t="shared" si="0"/>
        <v>480</v>
      </c>
      <c r="G52" s="13"/>
      <c r="H52" s="5">
        <f t="shared" si="1"/>
        <v>-5</v>
      </c>
      <c r="I52" s="9">
        <f t="shared" si="2"/>
        <v>0</v>
      </c>
      <c r="J52" s="9">
        <f t="shared" si="3"/>
        <v>480</v>
      </c>
    </row>
    <row r="53" spans="1:10" customFormat="1" ht="49.5" customHeight="1" thickBot="1" x14ac:dyDescent="0.3">
      <c r="A53" s="8">
        <v>50</v>
      </c>
      <c r="B53" s="11" t="s">
        <v>77</v>
      </c>
      <c r="C53" s="12">
        <v>96</v>
      </c>
      <c r="D53" s="21" t="s">
        <v>211</v>
      </c>
      <c r="E53" s="22">
        <v>20</v>
      </c>
      <c r="F53" s="9">
        <f t="shared" si="0"/>
        <v>1920</v>
      </c>
      <c r="G53" s="13"/>
      <c r="H53" s="5">
        <f t="shared" si="1"/>
        <v>-20</v>
      </c>
      <c r="I53" s="9">
        <f t="shared" si="2"/>
        <v>0</v>
      </c>
      <c r="J53" s="9">
        <f t="shared" si="3"/>
        <v>1920</v>
      </c>
    </row>
    <row r="54" spans="1:10" customFormat="1" ht="49.5" customHeight="1" thickBot="1" x14ac:dyDescent="0.3">
      <c r="A54" s="8">
        <v>51</v>
      </c>
      <c r="B54" s="15" t="s">
        <v>206</v>
      </c>
      <c r="C54" s="16">
        <v>280</v>
      </c>
      <c r="D54" s="21" t="s">
        <v>91</v>
      </c>
      <c r="E54" s="23"/>
      <c r="F54" s="9">
        <f t="shared" si="0"/>
        <v>0</v>
      </c>
      <c r="G54" s="20"/>
      <c r="H54" s="5">
        <f t="shared" si="1"/>
        <v>0</v>
      </c>
      <c r="I54" s="9">
        <f t="shared" si="2"/>
        <v>0</v>
      </c>
      <c r="J54" s="9">
        <f t="shared" si="3"/>
        <v>0</v>
      </c>
    </row>
    <row r="55" spans="1:10" customFormat="1" ht="49.5" customHeight="1" thickBot="1" x14ac:dyDescent="0.3">
      <c r="A55" s="8">
        <v>52</v>
      </c>
      <c r="B55" s="15" t="s">
        <v>207</v>
      </c>
      <c r="C55" s="16">
        <v>300</v>
      </c>
      <c r="D55" s="21" t="s">
        <v>91</v>
      </c>
      <c r="E55" s="23"/>
      <c r="F55" s="9">
        <f t="shared" si="0"/>
        <v>0</v>
      </c>
      <c r="G55" s="20"/>
      <c r="H55" s="5">
        <f t="shared" si="1"/>
        <v>0</v>
      </c>
      <c r="I55" s="9">
        <f t="shared" si="2"/>
        <v>0</v>
      </c>
      <c r="J55" s="9">
        <f t="shared" si="3"/>
        <v>0</v>
      </c>
    </row>
    <row r="56" spans="1:10" customFormat="1" ht="49.5" customHeight="1" thickBot="1" x14ac:dyDescent="0.3">
      <c r="A56" s="8">
        <v>53</v>
      </c>
      <c r="B56" s="11" t="s">
        <v>78</v>
      </c>
      <c r="C56" s="12">
        <v>96</v>
      </c>
      <c r="D56" s="21" t="s">
        <v>211</v>
      </c>
      <c r="E56" s="22">
        <v>5</v>
      </c>
      <c r="F56" s="9">
        <f t="shared" si="0"/>
        <v>480</v>
      </c>
      <c r="G56" s="13"/>
      <c r="H56" s="5">
        <f t="shared" si="1"/>
        <v>-5</v>
      </c>
      <c r="I56" s="9">
        <f t="shared" si="2"/>
        <v>0</v>
      </c>
      <c r="J56" s="9">
        <f t="shared" si="3"/>
        <v>480</v>
      </c>
    </row>
    <row r="57" spans="1:10" customFormat="1" ht="49.5" customHeight="1" thickBot="1" x14ac:dyDescent="0.3">
      <c r="A57" s="8">
        <v>54</v>
      </c>
      <c r="B57" s="15" t="s">
        <v>203</v>
      </c>
      <c r="C57" s="16">
        <v>300</v>
      </c>
      <c r="D57" s="21" t="s">
        <v>91</v>
      </c>
      <c r="E57" s="23"/>
      <c r="F57" s="9">
        <f t="shared" si="0"/>
        <v>0</v>
      </c>
      <c r="G57" s="20"/>
      <c r="H57" s="5">
        <f t="shared" si="1"/>
        <v>0</v>
      </c>
      <c r="I57" s="9">
        <f t="shared" si="2"/>
        <v>0</v>
      </c>
      <c r="J57" s="9">
        <f t="shared" si="3"/>
        <v>0</v>
      </c>
    </row>
    <row r="58" spans="1:10" customFormat="1" ht="49.5" customHeight="1" thickBot="1" x14ac:dyDescent="0.3">
      <c r="A58" s="8">
        <v>55</v>
      </c>
      <c r="B58" s="11" t="s">
        <v>79</v>
      </c>
      <c r="C58" s="12">
        <v>96</v>
      </c>
      <c r="D58" s="21" t="s">
        <v>211</v>
      </c>
      <c r="E58" s="22">
        <v>10</v>
      </c>
      <c r="F58" s="9">
        <f t="shared" si="0"/>
        <v>960</v>
      </c>
      <c r="G58" s="13"/>
      <c r="H58" s="5">
        <f t="shared" si="1"/>
        <v>-10</v>
      </c>
      <c r="I58" s="9">
        <f t="shared" si="2"/>
        <v>0</v>
      </c>
      <c r="J58" s="9">
        <f t="shared" si="3"/>
        <v>960</v>
      </c>
    </row>
    <row r="59" spans="1:10" customFormat="1" ht="49.5" customHeight="1" thickBot="1" x14ac:dyDescent="0.3">
      <c r="A59" s="8">
        <v>56</v>
      </c>
      <c r="B59" s="15" t="s">
        <v>204</v>
      </c>
      <c r="C59" s="16">
        <v>250</v>
      </c>
      <c r="D59" s="21" t="s">
        <v>91</v>
      </c>
      <c r="E59" s="23"/>
      <c r="F59" s="9">
        <f t="shared" si="0"/>
        <v>0</v>
      </c>
      <c r="G59" s="20"/>
      <c r="H59" s="5">
        <f t="shared" si="1"/>
        <v>0</v>
      </c>
      <c r="I59" s="9">
        <f t="shared" si="2"/>
        <v>0</v>
      </c>
      <c r="J59" s="9">
        <f t="shared" si="3"/>
        <v>0</v>
      </c>
    </row>
    <row r="60" spans="1:10" customFormat="1" ht="49.5" customHeight="1" thickBot="1" x14ac:dyDescent="0.3">
      <c r="A60" s="8">
        <v>57</v>
      </c>
      <c r="B60" s="11" t="s">
        <v>172</v>
      </c>
      <c r="C60" s="12">
        <v>96</v>
      </c>
      <c r="D60" s="21" t="s">
        <v>211</v>
      </c>
      <c r="E60" s="22">
        <v>20</v>
      </c>
      <c r="F60" s="9">
        <f t="shared" si="0"/>
        <v>1920</v>
      </c>
      <c r="G60" s="13"/>
      <c r="H60" s="5">
        <f t="shared" si="1"/>
        <v>-20</v>
      </c>
      <c r="I60" s="9">
        <f t="shared" si="2"/>
        <v>0</v>
      </c>
      <c r="J60" s="9">
        <f t="shared" si="3"/>
        <v>1920</v>
      </c>
    </row>
    <row r="61" spans="1:10" customFormat="1" ht="49.5" customHeight="1" thickBot="1" x14ac:dyDescent="0.3">
      <c r="A61" s="8">
        <v>58</v>
      </c>
      <c r="B61" s="11" t="s">
        <v>80</v>
      </c>
      <c r="C61" s="12">
        <v>96</v>
      </c>
      <c r="D61" s="21" t="s">
        <v>211</v>
      </c>
      <c r="E61" s="22">
        <v>15</v>
      </c>
      <c r="F61" s="9">
        <f t="shared" si="0"/>
        <v>1440</v>
      </c>
      <c r="G61" s="13"/>
      <c r="H61" s="5">
        <f t="shared" si="1"/>
        <v>-15</v>
      </c>
      <c r="I61" s="9">
        <f t="shared" si="2"/>
        <v>0</v>
      </c>
      <c r="J61" s="9">
        <f t="shared" si="3"/>
        <v>1440</v>
      </c>
    </row>
    <row r="62" spans="1:10" customFormat="1" ht="49.5" customHeight="1" thickBot="1" x14ac:dyDescent="0.3">
      <c r="A62" s="8">
        <v>59</v>
      </c>
      <c r="B62" s="11" t="s">
        <v>81</v>
      </c>
      <c r="C62" s="12">
        <v>96</v>
      </c>
      <c r="D62" s="21" t="s">
        <v>211</v>
      </c>
      <c r="E62" s="22">
        <v>10</v>
      </c>
      <c r="F62" s="9">
        <f t="shared" si="0"/>
        <v>960</v>
      </c>
      <c r="G62" s="13"/>
      <c r="H62" s="5">
        <f t="shared" si="1"/>
        <v>-10</v>
      </c>
      <c r="I62" s="9">
        <f t="shared" si="2"/>
        <v>0</v>
      </c>
      <c r="J62" s="9">
        <f t="shared" si="3"/>
        <v>960</v>
      </c>
    </row>
    <row r="63" spans="1:10" customFormat="1" ht="45.75" customHeight="1" thickBot="1" x14ac:dyDescent="0.3">
      <c r="A63" s="8">
        <v>60</v>
      </c>
      <c r="B63" s="15" t="s">
        <v>208</v>
      </c>
      <c r="C63" s="16">
        <v>170</v>
      </c>
      <c r="D63" s="21" t="s">
        <v>91</v>
      </c>
      <c r="E63" s="23"/>
      <c r="F63" s="9">
        <f t="shared" si="0"/>
        <v>0</v>
      </c>
      <c r="G63" s="20"/>
      <c r="H63" s="5">
        <f t="shared" si="1"/>
        <v>0</v>
      </c>
      <c r="I63" s="9">
        <f t="shared" si="2"/>
        <v>0</v>
      </c>
      <c r="J63" s="9">
        <f t="shared" si="3"/>
        <v>0</v>
      </c>
    </row>
    <row r="64" spans="1:10" customFormat="1" ht="54" customHeight="1" thickBot="1" x14ac:dyDescent="0.3">
      <c r="A64" s="8">
        <v>61</v>
      </c>
      <c r="B64" s="15" t="s">
        <v>205</v>
      </c>
      <c r="C64" s="16">
        <v>200</v>
      </c>
      <c r="D64" s="21" t="s">
        <v>91</v>
      </c>
      <c r="E64" s="23"/>
      <c r="F64" s="9">
        <f t="shared" si="0"/>
        <v>0</v>
      </c>
      <c r="G64" s="20"/>
      <c r="H64" s="5">
        <f t="shared" si="1"/>
        <v>0</v>
      </c>
      <c r="I64" s="9">
        <f t="shared" si="2"/>
        <v>0</v>
      </c>
      <c r="J64" s="9">
        <f t="shared" si="3"/>
        <v>0</v>
      </c>
    </row>
    <row r="65" spans="1:10" customFormat="1" ht="53.25" customHeight="1" thickBot="1" x14ac:dyDescent="0.3">
      <c r="A65" s="8">
        <v>62</v>
      </c>
      <c r="B65" s="11" t="s">
        <v>82</v>
      </c>
      <c r="C65" s="12">
        <v>96</v>
      </c>
      <c r="D65" s="21" t="s">
        <v>91</v>
      </c>
      <c r="E65" s="22"/>
      <c r="F65" s="9">
        <f t="shared" si="0"/>
        <v>0</v>
      </c>
      <c r="G65" s="13"/>
      <c r="H65" s="5">
        <f t="shared" si="1"/>
        <v>0</v>
      </c>
      <c r="I65" s="9">
        <f t="shared" si="2"/>
        <v>0</v>
      </c>
      <c r="J65" s="9">
        <f t="shared" si="3"/>
        <v>0</v>
      </c>
    </row>
    <row r="66" spans="1:10" customFormat="1" ht="49.5" customHeight="1" thickBot="1" x14ac:dyDescent="0.3">
      <c r="A66" s="8">
        <v>63</v>
      </c>
      <c r="B66" s="11" t="s">
        <v>83</v>
      </c>
      <c r="C66" s="12">
        <v>96</v>
      </c>
      <c r="D66" s="21" t="s">
        <v>211</v>
      </c>
      <c r="E66" s="22">
        <v>10</v>
      </c>
      <c r="F66" s="9">
        <f t="shared" si="0"/>
        <v>960</v>
      </c>
      <c r="G66" s="13"/>
      <c r="H66" s="5">
        <f t="shared" si="1"/>
        <v>-10</v>
      </c>
      <c r="I66" s="9">
        <f t="shared" si="2"/>
        <v>0</v>
      </c>
      <c r="J66" s="9">
        <f t="shared" si="3"/>
        <v>960</v>
      </c>
    </row>
    <row r="67" spans="1:10" customFormat="1" ht="42" customHeight="1" thickBot="1" x14ac:dyDescent="0.3">
      <c r="A67" s="8">
        <v>64</v>
      </c>
      <c r="B67" s="15" t="s">
        <v>202</v>
      </c>
      <c r="C67" s="16">
        <v>300</v>
      </c>
      <c r="D67" s="21" t="s">
        <v>91</v>
      </c>
      <c r="E67" s="23"/>
      <c r="F67" s="9">
        <f t="shared" si="0"/>
        <v>0</v>
      </c>
      <c r="G67" s="20"/>
      <c r="H67" s="5">
        <f t="shared" si="1"/>
        <v>0</v>
      </c>
      <c r="I67" s="9">
        <f t="shared" si="2"/>
        <v>0</v>
      </c>
      <c r="J67" s="9">
        <f t="shared" si="3"/>
        <v>0</v>
      </c>
    </row>
    <row r="68" spans="1:10" customFormat="1" ht="49.5" customHeight="1" thickBot="1" x14ac:dyDescent="0.3">
      <c r="A68" s="8">
        <v>65</v>
      </c>
      <c r="B68" s="10" t="s">
        <v>122</v>
      </c>
      <c r="C68" s="12">
        <v>397</v>
      </c>
      <c r="D68" s="21" t="s">
        <v>91</v>
      </c>
      <c r="E68" s="22"/>
      <c r="F68" s="9">
        <f t="shared" si="0"/>
        <v>0</v>
      </c>
      <c r="G68" s="13"/>
      <c r="H68" s="5">
        <f t="shared" si="1"/>
        <v>0</v>
      </c>
      <c r="I68" s="9">
        <f t="shared" si="2"/>
        <v>0</v>
      </c>
      <c r="J68" s="9">
        <f t="shared" si="3"/>
        <v>0</v>
      </c>
    </row>
    <row r="69" spans="1:10" customFormat="1" ht="49.5" customHeight="1" thickBot="1" x14ac:dyDescent="0.3">
      <c r="A69" s="8">
        <v>66</v>
      </c>
      <c r="B69" s="10" t="s">
        <v>67</v>
      </c>
      <c r="C69" s="12">
        <v>500</v>
      </c>
      <c r="D69" s="21" t="s">
        <v>91</v>
      </c>
      <c r="E69" s="22"/>
      <c r="F69" s="9">
        <f t="shared" ref="F69:F132" si="4">E69*C69</f>
        <v>0</v>
      </c>
      <c r="G69" s="13"/>
      <c r="H69" s="5">
        <f t="shared" ref="H69:H132" si="5">G69-E69</f>
        <v>0</v>
      </c>
      <c r="I69" s="9">
        <f t="shared" ref="I69:I132" si="6">G69*C69</f>
        <v>0</v>
      </c>
      <c r="J69" s="9">
        <f t="shared" ref="J69:J132" si="7">F69-I69</f>
        <v>0</v>
      </c>
    </row>
    <row r="70" spans="1:10" customFormat="1" ht="240.75" customHeight="1" thickBot="1" x14ac:dyDescent="0.3">
      <c r="A70" s="8">
        <v>67</v>
      </c>
      <c r="B70" s="10" t="s">
        <v>123</v>
      </c>
      <c r="C70" s="12">
        <v>258</v>
      </c>
      <c r="D70" s="21" t="s">
        <v>91</v>
      </c>
      <c r="E70" s="22"/>
      <c r="F70" s="9">
        <f t="shared" si="4"/>
        <v>0</v>
      </c>
      <c r="G70" s="13"/>
      <c r="H70" s="5">
        <f t="shared" si="5"/>
        <v>0</v>
      </c>
      <c r="I70" s="9">
        <f t="shared" si="6"/>
        <v>0</v>
      </c>
      <c r="J70" s="9">
        <f t="shared" si="7"/>
        <v>0</v>
      </c>
    </row>
    <row r="71" spans="1:10" customFormat="1" ht="217.5" customHeight="1" thickBot="1" x14ac:dyDescent="0.3">
      <c r="A71" s="8">
        <v>68</v>
      </c>
      <c r="B71" s="10" t="s">
        <v>124</v>
      </c>
      <c r="C71" s="12">
        <v>306</v>
      </c>
      <c r="D71" s="21" t="s">
        <v>91</v>
      </c>
      <c r="E71" s="22"/>
      <c r="F71" s="9">
        <f t="shared" si="4"/>
        <v>0</v>
      </c>
      <c r="G71" s="13"/>
      <c r="H71" s="5">
        <f t="shared" si="5"/>
        <v>0</v>
      </c>
      <c r="I71" s="9">
        <f t="shared" si="6"/>
        <v>0</v>
      </c>
      <c r="J71" s="9">
        <f t="shared" si="7"/>
        <v>0</v>
      </c>
    </row>
    <row r="72" spans="1:10" customFormat="1" ht="222" customHeight="1" thickBot="1" x14ac:dyDescent="0.3">
      <c r="A72" s="8">
        <v>69</v>
      </c>
      <c r="B72" s="10" t="s">
        <v>52</v>
      </c>
      <c r="C72" s="12">
        <v>408</v>
      </c>
      <c r="D72" s="21" t="s">
        <v>91</v>
      </c>
      <c r="E72" s="22"/>
      <c r="F72" s="9">
        <f t="shared" si="4"/>
        <v>0</v>
      </c>
      <c r="G72" s="13"/>
      <c r="H72" s="5">
        <f t="shared" si="5"/>
        <v>0</v>
      </c>
      <c r="I72" s="9">
        <f t="shared" si="6"/>
        <v>0</v>
      </c>
      <c r="J72" s="9">
        <f t="shared" si="7"/>
        <v>0</v>
      </c>
    </row>
    <row r="73" spans="1:10" customFormat="1" ht="49.5" customHeight="1" thickBot="1" x14ac:dyDescent="0.3">
      <c r="A73" s="8">
        <v>70</v>
      </c>
      <c r="B73" s="10" t="s">
        <v>7</v>
      </c>
      <c r="C73" s="12">
        <v>80</v>
      </c>
      <c r="D73" s="21" t="s">
        <v>91</v>
      </c>
      <c r="E73" s="22"/>
      <c r="F73" s="9">
        <f t="shared" si="4"/>
        <v>0</v>
      </c>
      <c r="G73" s="13"/>
      <c r="H73" s="5">
        <f t="shared" si="5"/>
        <v>0</v>
      </c>
      <c r="I73" s="9">
        <f t="shared" si="6"/>
        <v>0</v>
      </c>
      <c r="J73" s="9">
        <f t="shared" si="7"/>
        <v>0</v>
      </c>
    </row>
    <row r="74" spans="1:10" customFormat="1" ht="76.5" customHeight="1" thickBot="1" x14ac:dyDescent="0.3">
      <c r="A74" s="8">
        <v>71</v>
      </c>
      <c r="B74" s="10" t="s">
        <v>145</v>
      </c>
      <c r="C74" s="12">
        <v>11300</v>
      </c>
      <c r="D74" s="21" t="s">
        <v>91</v>
      </c>
      <c r="E74" s="22"/>
      <c r="F74" s="9">
        <f t="shared" si="4"/>
        <v>0</v>
      </c>
      <c r="G74" s="13"/>
      <c r="H74" s="5">
        <f t="shared" si="5"/>
        <v>0</v>
      </c>
      <c r="I74" s="9">
        <f t="shared" si="6"/>
        <v>0</v>
      </c>
      <c r="J74" s="9">
        <f t="shared" si="7"/>
        <v>0</v>
      </c>
    </row>
    <row r="75" spans="1:10" customFormat="1" ht="76.5" customHeight="1" thickBot="1" x14ac:dyDescent="0.3">
      <c r="A75" s="8">
        <v>72</v>
      </c>
      <c r="B75" s="10" t="s">
        <v>146</v>
      </c>
      <c r="C75" s="12">
        <v>3250</v>
      </c>
      <c r="D75" s="21" t="s">
        <v>91</v>
      </c>
      <c r="E75" s="22"/>
      <c r="F75" s="9">
        <f t="shared" si="4"/>
        <v>0</v>
      </c>
      <c r="G75" s="13"/>
      <c r="H75" s="5">
        <f t="shared" si="5"/>
        <v>0</v>
      </c>
      <c r="I75" s="9">
        <f t="shared" si="6"/>
        <v>0</v>
      </c>
      <c r="J75" s="9">
        <f t="shared" si="7"/>
        <v>0</v>
      </c>
    </row>
    <row r="76" spans="1:10" customFormat="1" ht="49.5" customHeight="1" thickBot="1" x14ac:dyDescent="0.3">
      <c r="A76" s="8">
        <v>73</v>
      </c>
      <c r="B76" s="10" t="s">
        <v>147</v>
      </c>
      <c r="C76" s="12">
        <v>3250</v>
      </c>
      <c r="D76" s="21" t="s">
        <v>91</v>
      </c>
      <c r="E76" s="22"/>
      <c r="F76" s="9">
        <f t="shared" si="4"/>
        <v>0</v>
      </c>
      <c r="G76" s="13"/>
      <c r="H76" s="5">
        <f t="shared" si="5"/>
        <v>0</v>
      </c>
      <c r="I76" s="9">
        <f t="shared" si="6"/>
        <v>0</v>
      </c>
      <c r="J76" s="9">
        <f t="shared" si="7"/>
        <v>0</v>
      </c>
    </row>
    <row r="77" spans="1:10" customFormat="1" ht="49.5" customHeight="1" thickBot="1" x14ac:dyDescent="0.3">
      <c r="A77" s="8">
        <v>74</v>
      </c>
      <c r="B77" s="10" t="s">
        <v>8</v>
      </c>
      <c r="C77" s="12">
        <v>165</v>
      </c>
      <c r="D77" s="21" t="s">
        <v>211</v>
      </c>
      <c r="E77" s="22">
        <v>10</v>
      </c>
      <c r="F77" s="9">
        <f t="shared" si="4"/>
        <v>1650</v>
      </c>
      <c r="G77" s="13"/>
      <c r="H77" s="5">
        <f t="shared" si="5"/>
        <v>-10</v>
      </c>
      <c r="I77" s="9">
        <f t="shared" si="6"/>
        <v>0</v>
      </c>
      <c r="J77" s="9">
        <f t="shared" si="7"/>
        <v>1650</v>
      </c>
    </row>
    <row r="78" spans="1:10" customFormat="1" ht="49.5" customHeight="1" thickBot="1" x14ac:dyDescent="0.3">
      <c r="A78" s="8">
        <v>75</v>
      </c>
      <c r="B78" s="10" t="s">
        <v>9</v>
      </c>
      <c r="C78" s="12">
        <v>25.4</v>
      </c>
      <c r="D78" s="21" t="s">
        <v>91</v>
      </c>
      <c r="E78" s="22"/>
      <c r="F78" s="9">
        <f t="shared" si="4"/>
        <v>0</v>
      </c>
      <c r="G78" s="13"/>
      <c r="H78" s="5">
        <f t="shared" si="5"/>
        <v>0</v>
      </c>
      <c r="I78" s="9">
        <f t="shared" si="6"/>
        <v>0</v>
      </c>
      <c r="J78" s="9">
        <f t="shared" si="7"/>
        <v>0</v>
      </c>
    </row>
    <row r="79" spans="1:10" customFormat="1" ht="49.5" customHeight="1" thickBot="1" x14ac:dyDescent="0.3">
      <c r="A79" s="8">
        <v>76</v>
      </c>
      <c r="B79" s="10" t="s">
        <v>10</v>
      </c>
      <c r="C79" s="12">
        <v>150</v>
      </c>
      <c r="D79" s="21" t="s">
        <v>91</v>
      </c>
      <c r="E79" s="22"/>
      <c r="F79" s="9">
        <f t="shared" si="4"/>
        <v>0</v>
      </c>
      <c r="G79" s="13"/>
      <c r="H79" s="5">
        <f t="shared" si="5"/>
        <v>0</v>
      </c>
      <c r="I79" s="9">
        <f t="shared" si="6"/>
        <v>0</v>
      </c>
      <c r="J79" s="9">
        <f t="shared" si="7"/>
        <v>0</v>
      </c>
    </row>
    <row r="80" spans="1:10" customFormat="1" ht="49.5" customHeight="1" thickBot="1" x14ac:dyDescent="0.3">
      <c r="A80" s="8">
        <v>77</v>
      </c>
      <c r="B80" s="10" t="s">
        <v>125</v>
      </c>
      <c r="C80" s="12">
        <v>150</v>
      </c>
      <c r="D80" s="21" t="s">
        <v>211</v>
      </c>
      <c r="E80" s="22">
        <v>4</v>
      </c>
      <c r="F80" s="9">
        <f t="shared" si="4"/>
        <v>600</v>
      </c>
      <c r="G80" s="13"/>
      <c r="H80" s="5">
        <f t="shared" si="5"/>
        <v>-4</v>
      </c>
      <c r="I80" s="9">
        <f t="shared" si="6"/>
        <v>0</v>
      </c>
      <c r="J80" s="9">
        <f t="shared" si="7"/>
        <v>600</v>
      </c>
    </row>
    <row r="81" spans="1:10" customFormat="1" ht="49.5" customHeight="1" thickBot="1" x14ac:dyDescent="0.3">
      <c r="A81" s="8">
        <v>78</v>
      </c>
      <c r="B81" s="10" t="s">
        <v>53</v>
      </c>
      <c r="C81" s="12">
        <v>228</v>
      </c>
      <c r="D81" s="21" t="s">
        <v>91</v>
      </c>
      <c r="E81" s="22"/>
      <c r="F81" s="9">
        <f t="shared" si="4"/>
        <v>0</v>
      </c>
      <c r="G81" s="13"/>
      <c r="H81" s="5">
        <f t="shared" si="5"/>
        <v>0</v>
      </c>
      <c r="I81" s="9">
        <f t="shared" si="6"/>
        <v>0</v>
      </c>
      <c r="J81" s="9">
        <f t="shared" si="7"/>
        <v>0</v>
      </c>
    </row>
    <row r="82" spans="1:10" customFormat="1" ht="49.5" customHeight="1" thickBot="1" x14ac:dyDescent="0.3">
      <c r="A82" s="8">
        <v>79</v>
      </c>
      <c r="B82" s="10" t="s">
        <v>54</v>
      </c>
      <c r="C82" s="12">
        <v>1500</v>
      </c>
      <c r="D82" s="21" t="s">
        <v>91</v>
      </c>
      <c r="E82" s="22"/>
      <c r="F82" s="9">
        <f t="shared" si="4"/>
        <v>0</v>
      </c>
      <c r="G82" s="13"/>
      <c r="H82" s="5">
        <f t="shared" si="5"/>
        <v>0</v>
      </c>
      <c r="I82" s="9">
        <f t="shared" si="6"/>
        <v>0</v>
      </c>
      <c r="J82" s="9">
        <f t="shared" si="7"/>
        <v>0</v>
      </c>
    </row>
    <row r="83" spans="1:10" customFormat="1" ht="49.5" customHeight="1" thickBot="1" x14ac:dyDescent="0.3">
      <c r="A83" s="8">
        <v>80</v>
      </c>
      <c r="B83" s="10" t="s">
        <v>55</v>
      </c>
      <c r="C83" s="12">
        <v>57</v>
      </c>
      <c r="D83" s="21" t="s">
        <v>91</v>
      </c>
      <c r="E83" s="22"/>
      <c r="F83" s="9">
        <f t="shared" si="4"/>
        <v>0</v>
      </c>
      <c r="G83" s="13"/>
      <c r="H83" s="5">
        <f t="shared" si="5"/>
        <v>0</v>
      </c>
      <c r="I83" s="9">
        <f t="shared" si="6"/>
        <v>0</v>
      </c>
      <c r="J83" s="9">
        <f t="shared" si="7"/>
        <v>0</v>
      </c>
    </row>
    <row r="84" spans="1:10" customFormat="1" ht="49.5" customHeight="1" thickBot="1" x14ac:dyDescent="0.3">
      <c r="A84" s="8">
        <v>81</v>
      </c>
      <c r="B84" s="10" t="s">
        <v>126</v>
      </c>
      <c r="C84" s="12">
        <v>250</v>
      </c>
      <c r="D84" s="21" t="s">
        <v>91</v>
      </c>
      <c r="E84" s="22"/>
      <c r="F84" s="9">
        <f t="shared" si="4"/>
        <v>0</v>
      </c>
      <c r="G84" s="13"/>
      <c r="H84" s="5">
        <f t="shared" si="5"/>
        <v>0</v>
      </c>
      <c r="I84" s="9">
        <f t="shared" si="6"/>
        <v>0</v>
      </c>
      <c r="J84" s="9">
        <f t="shared" si="7"/>
        <v>0</v>
      </c>
    </row>
    <row r="85" spans="1:10" customFormat="1" ht="49.5" customHeight="1" thickBot="1" x14ac:dyDescent="0.3">
      <c r="A85" s="8">
        <v>82</v>
      </c>
      <c r="B85" s="10" t="s">
        <v>56</v>
      </c>
      <c r="C85" s="12">
        <v>250</v>
      </c>
      <c r="D85" s="21" t="s">
        <v>91</v>
      </c>
      <c r="E85" s="22"/>
      <c r="F85" s="9">
        <f t="shared" si="4"/>
        <v>0</v>
      </c>
      <c r="G85" s="13"/>
      <c r="H85" s="5">
        <f t="shared" si="5"/>
        <v>0</v>
      </c>
      <c r="I85" s="9">
        <f t="shared" si="6"/>
        <v>0</v>
      </c>
      <c r="J85" s="9">
        <f t="shared" si="7"/>
        <v>0</v>
      </c>
    </row>
    <row r="86" spans="1:10" customFormat="1" ht="49.5" customHeight="1" thickBot="1" x14ac:dyDescent="0.3">
      <c r="A86" s="8">
        <v>83</v>
      </c>
      <c r="B86" s="10" t="s">
        <v>148</v>
      </c>
      <c r="C86" s="12">
        <v>2600</v>
      </c>
      <c r="D86" s="21" t="s">
        <v>91</v>
      </c>
      <c r="E86" s="22"/>
      <c r="F86" s="9">
        <f t="shared" si="4"/>
        <v>0</v>
      </c>
      <c r="G86" s="13"/>
      <c r="H86" s="5">
        <f t="shared" si="5"/>
        <v>0</v>
      </c>
      <c r="I86" s="9">
        <f t="shared" si="6"/>
        <v>0</v>
      </c>
      <c r="J86" s="9">
        <f t="shared" si="7"/>
        <v>0</v>
      </c>
    </row>
    <row r="87" spans="1:10" customFormat="1" ht="49.5" customHeight="1" thickBot="1" x14ac:dyDescent="0.3">
      <c r="A87" s="8">
        <v>84</v>
      </c>
      <c r="B87" s="10" t="s">
        <v>11</v>
      </c>
      <c r="C87" s="12">
        <v>75</v>
      </c>
      <c r="D87" s="21" t="s">
        <v>91</v>
      </c>
      <c r="E87" s="22"/>
      <c r="F87" s="9">
        <f t="shared" si="4"/>
        <v>0</v>
      </c>
      <c r="G87" s="13"/>
      <c r="H87" s="5">
        <f t="shared" si="5"/>
        <v>0</v>
      </c>
      <c r="I87" s="9">
        <f t="shared" si="6"/>
        <v>0</v>
      </c>
      <c r="J87" s="9">
        <f t="shared" si="7"/>
        <v>0</v>
      </c>
    </row>
    <row r="88" spans="1:10" customFormat="1" ht="49.5" customHeight="1" thickBot="1" x14ac:dyDescent="0.3">
      <c r="A88" s="8">
        <v>85</v>
      </c>
      <c r="B88" s="10" t="s">
        <v>12</v>
      </c>
      <c r="C88" s="12">
        <v>150</v>
      </c>
      <c r="D88" s="21" t="s">
        <v>211</v>
      </c>
      <c r="E88" s="22">
        <v>3</v>
      </c>
      <c r="F88" s="9">
        <f t="shared" si="4"/>
        <v>450</v>
      </c>
      <c r="G88" s="13"/>
      <c r="H88" s="5">
        <f t="shared" si="5"/>
        <v>-3</v>
      </c>
      <c r="I88" s="9">
        <f t="shared" si="6"/>
        <v>0</v>
      </c>
      <c r="J88" s="9">
        <f t="shared" si="7"/>
        <v>450</v>
      </c>
    </row>
    <row r="89" spans="1:10" customFormat="1" ht="50.25" customHeight="1" thickBot="1" x14ac:dyDescent="0.3">
      <c r="A89" s="8">
        <v>86</v>
      </c>
      <c r="B89" s="10" t="s">
        <v>57</v>
      </c>
      <c r="C89" s="12">
        <v>82</v>
      </c>
      <c r="D89" s="21" t="s">
        <v>91</v>
      </c>
      <c r="E89" s="22"/>
      <c r="F89" s="9">
        <f t="shared" si="4"/>
        <v>0</v>
      </c>
      <c r="G89" s="13"/>
      <c r="H89" s="5">
        <f t="shared" si="5"/>
        <v>0</v>
      </c>
      <c r="I89" s="9">
        <f t="shared" si="6"/>
        <v>0</v>
      </c>
      <c r="J89" s="9">
        <f t="shared" si="7"/>
        <v>0</v>
      </c>
    </row>
    <row r="90" spans="1:10" customFormat="1" ht="49.5" customHeight="1" thickBot="1" x14ac:dyDescent="0.3">
      <c r="A90" s="8">
        <v>87</v>
      </c>
      <c r="B90" s="10" t="s">
        <v>58</v>
      </c>
      <c r="C90" s="12">
        <v>11000</v>
      </c>
      <c r="D90" s="21" t="s">
        <v>91</v>
      </c>
      <c r="E90" s="22"/>
      <c r="F90" s="9">
        <f t="shared" si="4"/>
        <v>0</v>
      </c>
      <c r="G90" s="13"/>
      <c r="H90" s="5">
        <f t="shared" si="5"/>
        <v>0</v>
      </c>
      <c r="I90" s="9">
        <f t="shared" si="6"/>
        <v>0</v>
      </c>
      <c r="J90" s="9">
        <f t="shared" si="7"/>
        <v>0</v>
      </c>
    </row>
    <row r="91" spans="1:10" customFormat="1" ht="49.5" customHeight="1" thickBot="1" x14ac:dyDescent="0.3">
      <c r="A91" s="8">
        <v>88</v>
      </c>
      <c r="B91" s="10" t="s">
        <v>127</v>
      </c>
      <c r="C91" s="12">
        <v>57</v>
      </c>
      <c r="D91" s="21" t="s">
        <v>91</v>
      </c>
      <c r="E91" s="22"/>
      <c r="F91" s="9">
        <f t="shared" si="4"/>
        <v>0</v>
      </c>
      <c r="G91" s="13"/>
      <c r="H91" s="5">
        <f t="shared" si="5"/>
        <v>0</v>
      </c>
      <c r="I91" s="9">
        <f t="shared" si="6"/>
        <v>0</v>
      </c>
      <c r="J91" s="9">
        <f t="shared" si="7"/>
        <v>0</v>
      </c>
    </row>
    <row r="92" spans="1:10" customFormat="1" ht="49.5" customHeight="1" thickBot="1" x14ac:dyDescent="0.3">
      <c r="A92" s="8">
        <v>89</v>
      </c>
      <c r="B92" s="10" t="s">
        <v>59</v>
      </c>
      <c r="C92" s="12">
        <v>107</v>
      </c>
      <c r="D92" s="21" t="s">
        <v>91</v>
      </c>
      <c r="E92" s="22"/>
      <c r="F92" s="9">
        <f t="shared" si="4"/>
        <v>0</v>
      </c>
      <c r="G92" s="13"/>
      <c r="H92" s="5">
        <f t="shared" si="5"/>
        <v>0</v>
      </c>
      <c r="I92" s="9">
        <f t="shared" si="6"/>
        <v>0</v>
      </c>
      <c r="J92" s="9">
        <f t="shared" si="7"/>
        <v>0</v>
      </c>
    </row>
    <row r="93" spans="1:10" customFormat="1" ht="70.5" customHeight="1" thickBot="1" x14ac:dyDescent="0.3">
      <c r="A93" s="8">
        <v>90</v>
      </c>
      <c r="B93" s="10" t="s">
        <v>149</v>
      </c>
      <c r="C93" s="12">
        <v>7800</v>
      </c>
      <c r="D93" s="21" t="s">
        <v>91</v>
      </c>
      <c r="E93" s="22"/>
      <c r="F93" s="9">
        <f t="shared" si="4"/>
        <v>0</v>
      </c>
      <c r="G93" s="13"/>
      <c r="H93" s="5">
        <f t="shared" si="5"/>
        <v>0</v>
      </c>
      <c r="I93" s="9">
        <f t="shared" si="6"/>
        <v>0</v>
      </c>
      <c r="J93" s="9">
        <f t="shared" si="7"/>
        <v>0</v>
      </c>
    </row>
    <row r="94" spans="1:10" customFormat="1" ht="70.5" customHeight="1" thickBot="1" x14ac:dyDescent="0.3">
      <c r="A94" s="8">
        <v>91</v>
      </c>
      <c r="B94" s="10" t="s">
        <v>150</v>
      </c>
      <c r="C94" s="12">
        <v>16500</v>
      </c>
      <c r="D94" s="21" t="s">
        <v>91</v>
      </c>
      <c r="E94" s="22"/>
      <c r="F94" s="9">
        <f t="shared" si="4"/>
        <v>0</v>
      </c>
      <c r="G94" s="13"/>
      <c r="H94" s="5">
        <f t="shared" si="5"/>
        <v>0</v>
      </c>
      <c r="I94" s="9">
        <f t="shared" si="6"/>
        <v>0</v>
      </c>
      <c r="J94" s="9">
        <f t="shared" si="7"/>
        <v>0</v>
      </c>
    </row>
    <row r="95" spans="1:10" customFormat="1" ht="70.5" customHeight="1" thickBot="1" x14ac:dyDescent="0.3">
      <c r="A95" s="8">
        <v>92</v>
      </c>
      <c r="B95" s="10" t="s">
        <v>151</v>
      </c>
      <c r="C95" s="12">
        <v>210</v>
      </c>
      <c r="D95" s="21" t="s">
        <v>91</v>
      </c>
      <c r="E95" s="22"/>
      <c r="F95" s="9">
        <f t="shared" si="4"/>
        <v>0</v>
      </c>
      <c r="G95" s="13"/>
      <c r="H95" s="5">
        <f t="shared" si="5"/>
        <v>0</v>
      </c>
      <c r="I95" s="9">
        <f t="shared" si="6"/>
        <v>0</v>
      </c>
      <c r="J95" s="9">
        <f t="shared" si="7"/>
        <v>0</v>
      </c>
    </row>
    <row r="96" spans="1:10" customFormat="1" ht="39" customHeight="1" thickBot="1" x14ac:dyDescent="0.3">
      <c r="A96" s="8">
        <v>93</v>
      </c>
      <c r="B96" s="10" t="s">
        <v>152</v>
      </c>
      <c r="C96" s="12">
        <v>2150</v>
      </c>
      <c r="D96" s="21" t="s">
        <v>91</v>
      </c>
      <c r="E96" s="22"/>
      <c r="F96" s="9">
        <f t="shared" si="4"/>
        <v>0</v>
      </c>
      <c r="G96" s="13"/>
      <c r="H96" s="5">
        <f t="shared" si="5"/>
        <v>0</v>
      </c>
      <c r="I96" s="9">
        <f t="shared" si="6"/>
        <v>0</v>
      </c>
      <c r="J96" s="9">
        <f t="shared" si="7"/>
        <v>0</v>
      </c>
    </row>
    <row r="97" spans="1:10" customFormat="1" ht="39" customHeight="1" thickBot="1" x14ac:dyDescent="0.3">
      <c r="A97" s="8">
        <v>94</v>
      </c>
      <c r="B97" s="10" t="s">
        <v>13</v>
      </c>
      <c r="C97" s="12">
        <v>69</v>
      </c>
      <c r="D97" s="21" t="s">
        <v>91</v>
      </c>
      <c r="E97" s="22"/>
      <c r="F97" s="9">
        <f t="shared" si="4"/>
        <v>0</v>
      </c>
      <c r="G97" s="13"/>
      <c r="H97" s="5">
        <f t="shared" si="5"/>
        <v>0</v>
      </c>
      <c r="I97" s="9">
        <f t="shared" si="6"/>
        <v>0</v>
      </c>
      <c r="J97" s="9">
        <f t="shared" si="7"/>
        <v>0</v>
      </c>
    </row>
    <row r="98" spans="1:10" customFormat="1" ht="39" customHeight="1" thickBot="1" x14ac:dyDescent="0.3">
      <c r="A98" s="8">
        <v>95</v>
      </c>
      <c r="B98" s="10" t="s">
        <v>14</v>
      </c>
      <c r="C98" s="12">
        <v>150</v>
      </c>
      <c r="D98" s="21" t="s">
        <v>91</v>
      </c>
      <c r="E98" s="22"/>
      <c r="F98" s="9">
        <f t="shared" si="4"/>
        <v>0</v>
      </c>
      <c r="G98" s="13"/>
      <c r="H98" s="5">
        <f t="shared" si="5"/>
        <v>0</v>
      </c>
      <c r="I98" s="9">
        <f t="shared" si="6"/>
        <v>0</v>
      </c>
      <c r="J98" s="9">
        <f t="shared" si="7"/>
        <v>0</v>
      </c>
    </row>
    <row r="99" spans="1:10" customFormat="1" ht="49.5" customHeight="1" thickBot="1" x14ac:dyDescent="0.3">
      <c r="A99" s="8">
        <v>96</v>
      </c>
      <c r="B99" s="10" t="s">
        <v>153</v>
      </c>
      <c r="C99" s="12">
        <v>11000</v>
      </c>
      <c r="D99" s="21" t="s">
        <v>91</v>
      </c>
      <c r="E99" s="22"/>
      <c r="F99" s="9">
        <f t="shared" si="4"/>
        <v>0</v>
      </c>
      <c r="G99" s="13"/>
      <c r="H99" s="5">
        <f t="shared" si="5"/>
        <v>0</v>
      </c>
      <c r="I99" s="9">
        <f t="shared" si="6"/>
        <v>0</v>
      </c>
      <c r="J99" s="9">
        <f t="shared" si="7"/>
        <v>0</v>
      </c>
    </row>
    <row r="100" spans="1:10" customFormat="1" ht="49.5" customHeight="1" thickBot="1" x14ac:dyDescent="0.3">
      <c r="A100" s="8">
        <v>97</v>
      </c>
      <c r="B100" s="10" t="s">
        <v>154</v>
      </c>
      <c r="C100" s="12">
        <v>5500</v>
      </c>
      <c r="D100" s="21" t="s">
        <v>91</v>
      </c>
      <c r="E100" s="22"/>
      <c r="F100" s="9">
        <f t="shared" si="4"/>
        <v>0</v>
      </c>
      <c r="G100" s="13"/>
      <c r="H100" s="5">
        <f t="shared" si="5"/>
        <v>0</v>
      </c>
      <c r="I100" s="9">
        <f t="shared" si="6"/>
        <v>0</v>
      </c>
      <c r="J100" s="9">
        <f t="shared" si="7"/>
        <v>0</v>
      </c>
    </row>
    <row r="101" spans="1:10" customFormat="1" ht="49.5" customHeight="1" thickBot="1" x14ac:dyDescent="0.3">
      <c r="A101" s="8">
        <v>98</v>
      </c>
      <c r="B101" s="10" t="s">
        <v>15</v>
      </c>
      <c r="C101" s="12">
        <v>280</v>
      </c>
      <c r="D101" s="21" t="s">
        <v>91</v>
      </c>
      <c r="E101" s="22"/>
      <c r="F101" s="9">
        <f t="shared" si="4"/>
        <v>0</v>
      </c>
      <c r="G101" s="13"/>
      <c r="H101" s="5">
        <f t="shared" si="5"/>
        <v>0</v>
      </c>
      <c r="I101" s="9">
        <f t="shared" si="6"/>
        <v>0</v>
      </c>
      <c r="J101" s="9">
        <f t="shared" si="7"/>
        <v>0</v>
      </c>
    </row>
    <row r="102" spans="1:10" customFormat="1" ht="49.5" customHeight="1" thickBot="1" x14ac:dyDescent="0.3">
      <c r="A102" s="8">
        <v>99</v>
      </c>
      <c r="B102" s="10" t="s">
        <v>16</v>
      </c>
      <c r="C102" s="12">
        <v>450</v>
      </c>
      <c r="D102" s="21" t="s">
        <v>91</v>
      </c>
      <c r="E102" s="22"/>
      <c r="F102" s="9">
        <f t="shared" si="4"/>
        <v>0</v>
      </c>
      <c r="G102" s="13"/>
      <c r="H102" s="5">
        <f t="shared" si="5"/>
        <v>0</v>
      </c>
      <c r="I102" s="9">
        <f t="shared" si="6"/>
        <v>0</v>
      </c>
      <c r="J102" s="9">
        <f t="shared" si="7"/>
        <v>0</v>
      </c>
    </row>
    <row r="103" spans="1:10" customFormat="1" ht="49.5" customHeight="1" thickBot="1" x14ac:dyDescent="0.3">
      <c r="A103" s="8">
        <v>100</v>
      </c>
      <c r="B103" s="10" t="s">
        <v>17</v>
      </c>
      <c r="C103" s="12">
        <v>200</v>
      </c>
      <c r="D103" s="21" t="s">
        <v>91</v>
      </c>
      <c r="E103" s="22"/>
      <c r="F103" s="9">
        <f t="shared" si="4"/>
        <v>0</v>
      </c>
      <c r="G103" s="13"/>
      <c r="H103" s="5">
        <f t="shared" si="5"/>
        <v>0</v>
      </c>
      <c r="I103" s="9">
        <f t="shared" si="6"/>
        <v>0</v>
      </c>
      <c r="J103" s="9">
        <f t="shared" si="7"/>
        <v>0</v>
      </c>
    </row>
    <row r="104" spans="1:10" customFormat="1" ht="49.5" customHeight="1" thickBot="1" x14ac:dyDescent="0.3">
      <c r="A104" s="8">
        <v>101</v>
      </c>
      <c r="B104" s="10" t="s">
        <v>18</v>
      </c>
      <c r="C104" s="12">
        <v>220</v>
      </c>
      <c r="D104" s="21" t="s">
        <v>91</v>
      </c>
      <c r="E104" s="22"/>
      <c r="F104" s="9">
        <f t="shared" si="4"/>
        <v>0</v>
      </c>
      <c r="G104" s="13"/>
      <c r="H104" s="5">
        <f t="shared" si="5"/>
        <v>0</v>
      </c>
      <c r="I104" s="9">
        <f t="shared" si="6"/>
        <v>0</v>
      </c>
      <c r="J104" s="9">
        <f t="shared" si="7"/>
        <v>0</v>
      </c>
    </row>
    <row r="105" spans="1:10" customFormat="1" ht="49.5" customHeight="1" thickBot="1" x14ac:dyDescent="0.3">
      <c r="A105" s="8">
        <v>102</v>
      </c>
      <c r="B105" s="10" t="s">
        <v>19</v>
      </c>
      <c r="C105" s="12">
        <v>86</v>
      </c>
      <c r="D105" s="21" t="s">
        <v>91</v>
      </c>
      <c r="E105" s="22"/>
      <c r="F105" s="9">
        <f t="shared" si="4"/>
        <v>0</v>
      </c>
      <c r="G105" s="13"/>
      <c r="H105" s="5">
        <f t="shared" si="5"/>
        <v>0</v>
      </c>
      <c r="I105" s="9">
        <f t="shared" si="6"/>
        <v>0</v>
      </c>
      <c r="J105" s="9">
        <f t="shared" si="7"/>
        <v>0</v>
      </c>
    </row>
    <row r="106" spans="1:10" customFormat="1" ht="49.5" customHeight="1" thickBot="1" x14ac:dyDescent="0.3">
      <c r="A106" s="8">
        <v>103</v>
      </c>
      <c r="B106" s="10" t="s">
        <v>20</v>
      </c>
      <c r="C106" s="12">
        <v>86</v>
      </c>
      <c r="D106" s="21" t="s">
        <v>91</v>
      </c>
      <c r="E106" s="22"/>
      <c r="F106" s="9">
        <f t="shared" si="4"/>
        <v>0</v>
      </c>
      <c r="G106" s="13"/>
      <c r="H106" s="5">
        <f t="shared" si="5"/>
        <v>0</v>
      </c>
      <c r="I106" s="9">
        <f t="shared" si="6"/>
        <v>0</v>
      </c>
      <c r="J106" s="9">
        <f t="shared" si="7"/>
        <v>0</v>
      </c>
    </row>
    <row r="107" spans="1:10" customFormat="1" ht="49.5" customHeight="1" thickBot="1" x14ac:dyDescent="0.3">
      <c r="A107" s="8">
        <v>104</v>
      </c>
      <c r="B107" s="10" t="s">
        <v>155</v>
      </c>
      <c r="C107" s="12">
        <v>8100</v>
      </c>
      <c r="D107" s="21" t="s">
        <v>91</v>
      </c>
      <c r="E107" s="22"/>
      <c r="F107" s="9">
        <f t="shared" si="4"/>
        <v>0</v>
      </c>
      <c r="G107" s="13"/>
      <c r="H107" s="5">
        <f t="shared" si="5"/>
        <v>0</v>
      </c>
      <c r="I107" s="9">
        <f t="shared" si="6"/>
        <v>0</v>
      </c>
      <c r="J107" s="9">
        <f t="shared" si="7"/>
        <v>0</v>
      </c>
    </row>
    <row r="108" spans="1:10" customFormat="1" ht="49.5" customHeight="1" thickBot="1" x14ac:dyDescent="0.3">
      <c r="A108" s="8">
        <v>105</v>
      </c>
      <c r="B108" s="10" t="s">
        <v>156</v>
      </c>
      <c r="C108" s="12">
        <v>300</v>
      </c>
      <c r="D108" s="21" t="s">
        <v>91</v>
      </c>
      <c r="E108" s="22"/>
      <c r="F108" s="9">
        <f t="shared" si="4"/>
        <v>0</v>
      </c>
      <c r="G108" s="13"/>
      <c r="H108" s="5">
        <f t="shared" si="5"/>
        <v>0</v>
      </c>
      <c r="I108" s="9">
        <f t="shared" si="6"/>
        <v>0</v>
      </c>
      <c r="J108" s="9">
        <f t="shared" si="7"/>
        <v>0</v>
      </c>
    </row>
    <row r="109" spans="1:10" customFormat="1" ht="49.5" customHeight="1" thickBot="1" x14ac:dyDescent="0.3">
      <c r="A109" s="8">
        <v>106</v>
      </c>
      <c r="B109" s="11" t="s">
        <v>174</v>
      </c>
      <c r="C109" s="12">
        <v>430</v>
      </c>
      <c r="D109" s="21" t="s">
        <v>91</v>
      </c>
      <c r="E109" s="22"/>
      <c r="F109" s="9">
        <f t="shared" si="4"/>
        <v>0</v>
      </c>
      <c r="G109" s="13"/>
      <c r="H109" s="5">
        <f t="shared" si="5"/>
        <v>0</v>
      </c>
      <c r="I109" s="9">
        <f t="shared" si="6"/>
        <v>0</v>
      </c>
      <c r="J109" s="9">
        <f t="shared" si="7"/>
        <v>0</v>
      </c>
    </row>
    <row r="110" spans="1:10" customFormat="1" ht="49.5" customHeight="1" thickBot="1" x14ac:dyDescent="0.3">
      <c r="A110" s="8">
        <v>107</v>
      </c>
      <c r="B110" s="10" t="s">
        <v>21</v>
      </c>
      <c r="C110" s="12">
        <v>825</v>
      </c>
      <c r="D110" s="21" t="s">
        <v>91</v>
      </c>
      <c r="E110" s="22"/>
      <c r="F110" s="9">
        <f t="shared" si="4"/>
        <v>0</v>
      </c>
      <c r="G110" s="13"/>
      <c r="H110" s="5">
        <f t="shared" si="5"/>
        <v>0</v>
      </c>
      <c r="I110" s="9">
        <f t="shared" si="6"/>
        <v>0</v>
      </c>
      <c r="J110" s="9">
        <f t="shared" si="7"/>
        <v>0</v>
      </c>
    </row>
    <row r="111" spans="1:10" customFormat="1" ht="49.5" customHeight="1" thickBot="1" x14ac:dyDescent="0.3">
      <c r="A111" s="8">
        <v>108</v>
      </c>
      <c r="B111" s="10" t="s">
        <v>60</v>
      </c>
      <c r="C111" s="12">
        <v>185</v>
      </c>
      <c r="D111" s="21" t="s">
        <v>91</v>
      </c>
      <c r="E111" s="22"/>
      <c r="F111" s="9">
        <f t="shared" si="4"/>
        <v>0</v>
      </c>
      <c r="G111" s="13"/>
      <c r="H111" s="5">
        <f t="shared" si="5"/>
        <v>0</v>
      </c>
      <c r="I111" s="9">
        <f t="shared" si="6"/>
        <v>0</v>
      </c>
      <c r="J111" s="9">
        <f t="shared" si="7"/>
        <v>0</v>
      </c>
    </row>
    <row r="112" spans="1:10" customFormat="1" ht="49.5" customHeight="1" thickBot="1" x14ac:dyDescent="0.3">
      <c r="A112" s="8">
        <v>109</v>
      </c>
      <c r="B112" s="10" t="s">
        <v>176</v>
      </c>
      <c r="C112" s="12">
        <v>550</v>
      </c>
      <c r="D112" s="21" t="s">
        <v>91</v>
      </c>
      <c r="E112" s="22"/>
      <c r="F112" s="9">
        <f t="shared" si="4"/>
        <v>0</v>
      </c>
      <c r="G112" s="13"/>
      <c r="H112" s="5">
        <f t="shared" si="5"/>
        <v>0</v>
      </c>
      <c r="I112" s="9">
        <f t="shared" si="6"/>
        <v>0</v>
      </c>
      <c r="J112" s="9">
        <f t="shared" si="7"/>
        <v>0</v>
      </c>
    </row>
    <row r="113" spans="1:10" customFormat="1" ht="49.5" customHeight="1" thickBot="1" x14ac:dyDescent="0.3">
      <c r="A113" s="8">
        <v>110</v>
      </c>
      <c r="B113" s="10" t="s">
        <v>128</v>
      </c>
      <c r="C113" s="12">
        <v>57</v>
      </c>
      <c r="D113" s="21" t="s">
        <v>91</v>
      </c>
      <c r="E113" s="22"/>
      <c r="F113" s="9">
        <f t="shared" si="4"/>
        <v>0</v>
      </c>
      <c r="G113" s="13"/>
      <c r="H113" s="5">
        <f t="shared" si="5"/>
        <v>0</v>
      </c>
      <c r="I113" s="9">
        <f t="shared" si="6"/>
        <v>0</v>
      </c>
      <c r="J113" s="9">
        <f t="shared" si="7"/>
        <v>0</v>
      </c>
    </row>
    <row r="114" spans="1:10" customFormat="1" ht="49.5" customHeight="1" thickBot="1" x14ac:dyDescent="0.3">
      <c r="A114" s="8">
        <v>111</v>
      </c>
      <c r="B114" s="10" t="s">
        <v>101</v>
      </c>
      <c r="C114" s="12">
        <v>53</v>
      </c>
      <c r="D114" s="21" t="s">
        <v>211</v>
      </c>
      <c r="E114" s="22">
        <v>15</v>
      </c>
      <c r="F114" s="9">
        <f t="shared" si="4"/>
        <v>795</v>
      </c>
      <c r="G114" s="13"/>
      <c r="H114" s="5">
        <f t="shared" si="5"/>
        <v>-15</v>
      </c>
      <c r="I114" s="9">
        <f t="shared" si="6"/>
        <v>0</v>
      </c>
      <c r="J114" s="9">
        <f t="shared" si="7"/>
        <v>795</v>
      </c>
    </row>
    <row r="115" spans="1:10" customFormat="1" ht="49.5" customHeight="1" thickBot="1" x14ac:dyDescent="0.3">
      <c r="A115" s="8">
        <v>112</v>
      </c>
      <c r="B115" s="10" t="s">
        <v>157</v>
      </c>
      <c r="C115" s="12">
        <v>110</v>
      </c>
      <c r="D115" s="21" t="s">
        <v>91</v>
      </c>
      <c r="E115" s="22"/>
      <c r="F115" s="9">
        <f t="shared" si="4"/>
        <v>0</v>
      </c>
      <c r="G115" s="13"/>
      <c r="H115" s="5">
        <f t="shared" si="5"/>
        <v>0</v>
      </c>
      <c r="I115" s="9">
        <f t="shared" si="6"/>
        <v>0</v>
      </c>
      <c r="J115" s="9">
        <f t="shared" si="7"/>
        <v>0</v>
      </c>
    </row>
    <row r="116" spans="1:10" customFormat="1" ht="49.5" customHeight="1" thickBot="1" x14ac:dyDescent="0.3">
      <c r="A116" s="8">
        <v>113</v>
      </c>
      <c r="B116" s="10" t="s">
        <v>61</v>
      </c>
      <c r="C116" s="12">
        <v>76</v>
      </c>
      <c r="D116" s="21" t="s">
        <v>91</v>
      </c>
      <c r="E116" s="22"/>
      <c r="F116" s="9">
        <f t="shared" si="4"/>
        <v>0</v>
      </c>
      <c r="G116" s="13"/>
      <c r="H116" s="5">
        <f t="shared" si="5"/>
        <v>0</v>
      </c>
      <c r="I116" s="9">
        <f t="shared" si="6"/>
        <v>0</v>
      </c>
      <c r="J116" s="9">
        <f t="shared" si="7"/>
        <v>0</v>
      </c>
    </row>
    <row r="117" spans="1:10" customFormat="1" ht="49.5" customHeight="1" thickBot="1" x14ac:dyDescent="0.3">
      <c r="A117" s="8">
        <v>114</v>
      </c>
      <c r="B117" s="10" t="s">
        <v>62</v>
      </c>
      <c r="C117" s="12">
        <v>107</v>
      </c>
      <c r="D117" s="21" t="s">
        <v>91</v>
      </c>
      <c r="E117" s="22"/>
      <c r="F117" s="9">
        <f t="shared" si="4"/>
        <v>0</v>
      </c>
      <c r="G117" s="13"/>
      <c r="H117" s="5">
        <f t="shared" si="5"/>
        <v>0</v>
      </c>
      <c r="I117" s="9">
        <f t="shared" si="6"/>
        <v>0</v>
      </c>
      <c r="J117" s="9">
        <f t="shared" si="7"/>
        <v>0</v>
      </c>
    </row>
    <row r="118" spans="1:10" customFormat="1" ht="49.5" customHeight="1" thickBot="1" x14ac:dyDescent="0.3">
      <c r="A118" s="8">
        <v>115</v>
      </c>
      <c r="B118" s="10" t="s">
        <v>22</v>
      </c>
      <c r="C118" s="12">
        <v>100</v>
      </c>
      <c r="D118" s="21" t="s">
        <v>91</v>
      </c>
      <c r="E118" s="22"/>
      <c r="F118" s="9">
        <f t="shared" si="4"/>
        <v>0</v>
      </c>
      <c r="G118" s="13"/>
      <c r="H118" s="5">
        <f t="shared" si="5"/>
        <v>0</v>
      </c>
      <c r="I118" s="9">
        <f t="shared" si="6"/>
        <v>0</v>
      </c>
      <c r="J118" s="9">
        <f t="shared" si="7"/>
        <v>0</v>
      </c>
    </row>
    <row r="119" spans="1:10" customFormat="1" ht="49.5" customHeight="1" thickBot="1" x14ac:dyDescent="0.3">
      <c r="A119" s="8">
        <v>116</v>
      </c>
      <c r="B119" s="10" t="s">
        <v>23</v>
      </c>
      <c r="C119" s="12">
        <v>80</v>
      </c>
      <c r="D119" s="21" t="s">
        <v>91</v>
      </c>
      <c r="E119" s="22"/>
      <c r="F119" s="9">
        <f t="shared" si="4"/>
        <v>0</v>
      </c>
      <c r="G119" s="13"/>
      <c r="H119" s="5">
        <f t="shared" si="5"/>
        <v>0</v>
      </c>
      <c r="I119" s="9">
        <f t="shared" si="6"/>
        <v>0</v>
      </c>
      <c r="J119" s="9">
        <f t="shared" si="7"/>
        <v>0</v>
      </c>
    </row>
    <row r="120" spans="1:10" customFormat="1" ht="49.5" customHeight="1" thickBot="1" x14ac:dyDescent="0.3">
      <c r="A120" s="8">
        <v>117</v>
      </c>
      <c r="B120" s="10" t="s">
        <v>24</v>
      </c>
      <c r="C120" s="12">
        <v>213</v>
      </c>
      <c r="D120" s="21" t="s">
        <v>91</v>
      </c>
      <c r="E120" s="22"/>
      <c r="F120" s="9">
        <f t="shared" si="4"/>
        <v>0</v>
      </c>
      <c r="G120" s="13"/>
      <c r="H120" s="5">
        <f t="shared" si="5"/>
        <v>0</v>
      </c>
      <c r="I120" s="9">
        <f t="shared" si="6"/>
        <v>0</v>
      </c>
      <c r="J120" s="9">
        <f t="shared" si="7"/>
        <v>0</v>
      </c>
    </row>
    <row r="121" spans="1:10" customFormat="1" ht="49.5" customHeight="1" thickBot="1" x14ac:dyDescent="0.3">
      <c r="A121" s="8">
        <v>118</v>
      </c>
      <c r="B121" s="10" t="s">
        <v>158</v>
      </c>
      <c r="C121" s="12">
        <v>11300</v>
      </c>
      <c r="D121" s="21" t="s">
        <v>91</v>
      </c>
      <c r="E121" s="22"/>
      <c r="F121" s="9">
        <f t="shared" si="4"/>
        <v>0</v>
      </c>
      <c r="G121" s="13"/>
      <c r="H121" s="5">
        <f t="shared" si="5"/>
        <v>0</v>
      </c>
      <c r="I121" s="9">
        <f t="shared" si="6"/>
        <v>0</v>
      </c>
      <c r="J121" s="9">
        <f t="shared" si="7"/>
        <v>0</v>
      </c>
    </row>
    <row r="122" spans="1:10" customFormat="1" ht="49.5" customHeight="1" thickBot="1" x14ac:dyDescent="0.3">
      <c r="A122" s="8">
        <v>119</v>
      </c>
      <c r="B122" s="11" t="s">
        <v>84</v>
      </c>
      <c r="C122" s="12">
        <v>48</v>
      </c>
      <c r="D122" s="21" t="s">
        <v>91</v>
      </c>
      <c r="E122" s="22"/>
      <c r="F122" s="9">
        <f t="shared" si="4"/>
        <v>0</v>
      </c>
      <c r="G122" s="13"/>
      <c r="H122" s="5">
        <f t="shared" si="5"/>
        <v>0</v>
      </c>
      <c r="I122" s="9">
        <f t="shared" si="6"/>
        <v>0</v>
      </c>
      <c r="J122" s="9">
        <f t="shared" si="7"/>
        <v>0</v>
      </c>
    </row>
    <row r="123" spans="1:10" customFormat="1" ht="49.5" customHeight="1" thickBot="1" x14ac:dyDescent="0.3">
      <c r="A123" s="8">
        <v>120</v>
      </c>
      <c r="B123" s="11" t="s">
        <v>85</v>
      </c>
      <c r="C123" s="12">
        <v>86</v>
      </c>
      <c r="D123" s="21" t="s">
        <v>91</v>
      </c>
      <c r="E123" s="22"/>
      <c r="F123" s="9">
        <f t="shared" si="4"/>
        <v>0</v>
      </c>
      <c r="G123" s="13"/>
      <c r="H123" s="5">
        <f t="shared" si="5"/>
        <v>0</v>
      </c>
      <c r="I123" s="9">
        <f t="shared" si="6"/>
        <v>0</v>
      </c>
      <c r="J123" s="9">
        <f t="shared" si="7"/>
        <v>0</v>
      </c>
    </row>
    <row r="124" spans="1:10" customFormat="1" ht="49.5" customHeight="1" thickBot="1" x14ac:dyDescent="0.3">
      <c r="A124" s="8">
        <v>121</v>
      </c>
      <c r="B124" s="10" t="s">
        <v>159</v>
      </c>
      <c r="C124" s="12">
        <v>8000</v>
      </c>
      <c r="D124" s="21" t="s">
        <v>91</v>
      </c>
      <c r="E124" s="22"/>
      <c r="F124" s="9">
        <f t="shared" si="4"/>
        <v>0</v>
      </c>
      <c r="G124" s="13"/>
      <c r="H124" s="5">
        <f t="shared" si="5"/>
        <v>0</v>
      </c>
      <c r="I124" s="9">
        <f t="shared" si="6"/>
        <v>0</v>
      </c>
      <c r="J124" s="9">
        <f t="shared" si="7"/>
        <v>0</v>
      </c>
    </row>
    <row r="125" spans="1:10" customFormat="1" ht="49.5" customHeight="1" thickBot="1" x14ac:dyDescent="0.3">
      <c r="A125" s="8">
        <v>122</v>
      </c>
      <c r="B125" s="10" t="s">
        <v>160</v>
      </c>
      <c r="C125" s="12">
        <v>11300</v>
      </c>
      <c r="D125" s="21" t="s">
        <v>91</v>
      </c>
      <c r="E125" s="22"/>
      <c r="F125" s="9">
        <f t="shared" si="4"/>
        <v>0</v>
      </c>
      <c r="G125" s="13"/>
      <c r="H125" s="5">
        <f t="shared" si="5"/>
        <v>0</v>
      </c>
      <c r="I125" s="9">
        <f t="shared" si="6"/>
        <v>0</v>
      </c>
      <c r="J125" s="9">
        <f t="shared" si="7"/>
        <v>0</v>
      </c>
    </row>
    <row r="126" spans="1:10" customFormat="1" ht="49.5" customHeight="1" thickBot="1" x14ac:dyDescent="0.3">
      <c r="A126" s="8">
        <v>123</v>
      </c>
      <c r="B126" s="10" t="s">
        <v>161</v>
      </c>
      <c r="C126" s="12">
        <v>11300</v>
      </c>
      <c r="D126" s="21" t="s">
        <v>91</v>
      </c>
      <c r="E126" s="22"/>
      <c r="F126" s="9">
        <f t="shared" si="4"/>
        <v>0</v>
      </c>
      <c r="G126" s="13"/>
      <c r="H126" s="5">
        <f t="shared" si="5"/>
        <v>0</v>
      </c>
      <c r="I126" s="9">
        <f t="shared" si="6"/>
        <v>0</v>
      </c>
      <c r="J126" s="9">
        <f t="shared" si="7"/>
        <v>0</v>
      </c>
    </row>
    <row r="127" spans="1:10" customFormat="1" ht="49.5" customHeight="1" thickBot="1" x14ac:dyDescent="0.3">
      <c r="A127" s="8">
        <v>124</v>
      </c>
      <c r="B127" s="10" t="s">
        <v>63</v>
      </c>
      <c r="C127" s="12">
        <v>56</v>
      </c>
      <c r="D127" s="21" t="s">
        <v>211</v>
      </c>
      <c r="E127" s="22">
        <v>1</v>
      </c>
      <c r="F127" s="9">
        <f t="shared" si="4"/>
        <v>56</v>
      </c>
      <c r="G127" s="13"/>
      <c r="H127" s="5">
        <f t="shared" si="5"/>
        <v>-1</v>
      </c>
      <c r="I127" s="9">
        <f t="shared" si="6"/>
        <v>0</v>
      </c>
      <c r="J127" s="9">
        <f t="shared" si="7"/>
        <v>56</v>
      </c>
    </row>
    <row r="128" spans="1:10" customFormat="1" ht="49.5" customHeight="1" thickBot="1" x14ac:dyDescent="0.3">
      <c r="A128" s="8">
        <v>125</v>
      </c>
      <c r="B128" s="10" t="s">
        <v>129</v>
      </c>
      <c r="C128" s="12">
        <v>85</v>
      </c>
      <c r="D128" s="21" t="s">
        <v>211</v>
      </c>
      <c r="E128" s="22">
        <v>1</v>
      </c>
      <c r="F128" s="9">
        <f t="shared" si="4"/>
        <v>85</v>
      </c>
      <c r="G128" s="13"/>
      <c r="H128" s="5">
        <f t="shared" si="5"/>
        <v>-1</v>
      </c>
      <c r="I128" s="9">
        <f t="shared" si="6"/>
        <v>0</v>
      </c>
      <c r="J128" s="9">
        <f t="shared" si="7"/>
        <v>85</v>
      </c>
    </row>
    <row r="129" spans="1:10" customFormat="1" ht="49.5" customHeight="1" thickBot="1" x14ac:dyDescent="0.3">
      <c r="A129" s="8">
        <v>126</v>
      </c>
      <c r="B129" s="10" t="s">
        <v>64</v>
      </c>
      <c r="C129" s="12">
        <v>106</v>
      </c>
      <c r="D129" s="21" t="s">
        <v>91</v>
      </c>
      <c r="E129" s="22"/>
      <c r="F129" s="9">
        <f t="shared" si="4"/>
        <v>0</v>
      </c>
      <c r="G129" s="13"/>
      <c r="H129" s="5">
        <f t="shared" si="5"/>
        <v>0</v>
      </c>
      <c r="I129" s="9">
        <f t="shared" si="6"/>
        <v>0</v>
      </c>
      <c r="J129" s="9">
        <f t="shared" si="7"/>
        <v>0</v>
      </c>
    </row>
    <row r="130" spans="1:10" customFormat="1" ht="49.5" customHeight="1" thickBot="1" x14ac:dyDescent="0.3">
      <c r="A130" s="8">
        <v>127</v>
      </c>
      <c r="B130" s="10" t="s">
        <v>65</v>
      </c>
      <c r="C130" s="12">
        <v>164</v>
      </c>
      <c r="D130" s="21" t="s">
        <v>211</v>
      </c>
      <c r="E130" s="22">
        <v>2</v>
      </c>
      <c r="F130" s="9">
        <f t="shared" si="4"/>
        <v>328</v>
      </c>
      <c r="G130" s="13"/>
      <c r="H130" s="5">
        <f t="shared" si="5"/>
        <v>-2</v>
      </c>
      <c r="I130" s="9">
        <f t="shared" si="6"/>
        <v>0</v>
      </c>
      <c r="J130" s="9">
        <f t="shared" si="7"/>
        <v>328</v>
      </c>
    </row>
    <row r="131" spans="1:10" customFormat="1" ht="49.5" customHeight="1" thickBot="1" x14ac:dyDescent="0.3">
      <c r="A131" s="8">
        <v>128</v>
      </c>
      <c r="B131" s="10" t="s">
        <v>25</v>
      </c>
      <c r="C131" s="12">
        <v>213</v>
      </c>
      <c r="D131" s="21" t="s">
        <v>91</v>
      </c>
      <c r="E131" s="22"/>
      <c r="F131" s="9">
        <f t="shared" si="4"/>
        <v>0</v>
      </c>
      <c r="G131" s="13"/>
      <c r="H131" s="5">
        <f t="shared" si="5"/>
        <v>0</v>
      </c>
      <c r="I131" s="9">
        <f t="shared" si="6"/>
        <v>0</v>
      </c>
      <c r="J131" s="9">
        <f t="shared" si="7"/>
        <v>0</v>
      </c>
    </row>
    <row r="132" spans="1:10" customFormat="1" ht="49.5" customHeight="1" thickBot="1" x14ac:dyDescent="0.3">
      <c r="A132" s="8">
        <v>129</v>
      </c>
      <c r="B132" s="10" t="s">
        <v>162</v>
      </c>
      <c r="C132" s="12">
        <v>10000</v>
      </c>
      <c r="D132" s="21" t="s">
        <v>91</v>
      </c>
      <c r="E132" s="22"/>
      <c r="F132" s="9">
        <f t="shared" si="4"/>
        <v>0</v>
      </c>
      <c r="G132" s="13"/>
      <c r="H132" s="5">
        <f t="shared" si="5"/>
        <v>0</v>
      </c>
      <c r="I132" s="9">
        <f t="shared" si="6"/>
        <v>0</v>
      </c>
      <c r="J132" s="9">
        <f t="shared" si="7"/>
        <v>0</v>
      </c>
    </row>
    <row r="133" spans="1:10" customFormat="1" ht="49.5" customHeight="1" thickBot="1" x14ac:dyDescent="0.3">
      <c r="A133" s="8">
        <v>130</v>
      </c>
      <c r="B133" s="10" t="s">
        <v>163</v>
      </c>
      <c r="C133" s="12">
        <v>8000</v>
      </c>
      <c r="D133" s="21" t="s">
        <v>91</v>
      </c>
      <c r="E133" s="22"/>
      <c r="F133" s="9">
        <f t="shared" ref="F133:F195" si="8">E133*C133</f>
        <v>0</v>
      </c>
      <c r="G133" s="13"/>
      <c r="H133" s="5">
        <f t="shared" ref="H133:H195" si="9">G133-E133</f>
        <v>0</v>
      </c>
      <c r="I133" s="9">
        <f t="shared" ref="I133:I195" si="10">G133*C133</f>
        <v>0</v>
      </c>
      <c r="J133" s="9">
        <f t="shared" ref="J133:J195" si="11">F133-I133</f>
        <v>0</v>
      </c>
    </row>
    <row r="134" spans="1:10" customFormat="1" ht="65.25" customHeight="1" thickBot="1" x14ac:dyDescent="0.3">
      <c r="A134" s="8">
        <v>131</v>
      </c>
      <c r="B134" s="10" t="s">
        <v>164</v>
      </c>
      <c r="C134" s="12">
        <v>15500</v>
      </c>
      <c r="D134" s="21" t="s">
        <v>91</v>
      </c>
      <c r="E134" s="22"/>
      <c r="F134" s="9">
        <f t="shared" si="8"/>
        <v>0</v>
      </c>
      <c r="G134" s="13"/>
      <c r="H134" s="5">
        <f t="shared" si="9"/>
        <v>0</v>
      </c>
      <c r="I134" s="9">
        <f t="shared" si="10"/>
        <v>0</v>
      </c>
      <c r="J134" s="9">
        <f t="shared" si="11"/>
        <v>0</v>
      </c>
    </row>
    <row r="135" spans="1:10" customFormat="1" ht="49.5" customHeight="1" thickBot="1" x14ac:dyDescent="0.3">
      <c r="A135" s="8">
        <v>132</v>
      </c>
      <c r="B135" s="10" t="s">
        <v>102</v>
      </c>
      <c r="C135" s="12">
        <v>107</v>
      </c>
      <c r="D135" s="21" t="s">
        <v>91</v>
      </c>
      <c r="E135" s="22"/>
      <c r="F135" s="9">
        <f t="shared" si="8"/>
        <v>0</v>
      </c>
      <c r="G135" s="13"/>
      <c r="H135" s="5">
        <f t="shared" si="9"/>
        <v>0</v>
      </c>
      <c r="I135" s="9">
        <f t="shared" si="10"/>
        <v>0</v>
      </c>
      <c r="J135" s="9">
        <f t="shared" si="11"/>
        <v>0</v>
      </c>
    </row>
    <row r="136" spans="1:10" customFormat="1" ht="64.5" customHeight="1" thickBot="1" x14ac:dyDescent="0.3">
      <c r="A136" s="8">
        <v>133</v>
      </c>
      <c r="B136" s="10" t="s">
        <v>165</v>
      </c>
      <c r="C136" s="12">
        <v>12000</v>
      </c>
      <c r="D136" s="21" t="s">
        <v>91</v>
      </c>
      <c r="E136" s="22"/>
      <c r="F136" s="9">
        <f t="shared" si="8"/>
        <v>0</v>
      </c>
      <c r="G136" s="13"/>
      <c r="H136" s="5">
        <f t="shared" si="9"/>
        <v>0</v>
      </c>
      <c r="I136" s="9">
        <f t="shared" si="10"/>
        <v>0</v>
      </c>
      <c r="J136" s="9">
        <f t="shared" si="11"/>
        <v>0</v>
      </c>
    </row>
    <row r="137" spans="1:10" customFormat="1" ht="49.5" customHeight="1" thickBot="1" x14ac:dyDescent="0.3">
      <c r="A137" s="8">
        <v>134</v>
      </c>
      <c r="B137" s="10" t="s">
        <v>69</v>
      </c>
      <c r="C137" s="12">
        <v>13500</v>
      </c>
      <c r="D137" s="21" t="s">
        <v>91</v>
      </c>
      <c r="E137" s="22"/>
      <c r="F137" s="9">
        <f t="shared" si="8"/>
        <v>0</v>
      </c>
      <c r="G137" s="13"/>
      <c r="H137" s="5">
        <f t="shared" si="9"/>
        <v>0</v>
      </c>
      <c r="I137" s="9">
        <f t="shared" si="10"/>
        <v>0</v>
      </c>
      <c r="J137" s="9">
        <f t="shared" si="11"/>
        <v>0</v>
      </c>
    </row>
    <row r="138" spans="1:10" customFormat="1" ht="49.5" customHeight="1" thickBot="1" x14ac:dyDescent="0.3">
      <c r="A138" s="8">
        <v>135</v>
      </c>
      <c r="B138" s="10" t="s">
        <v>166</v>
      </c>
      <c r="C138" s="12">
        <v>3900</v>
      </c>
      <c r="D138" s="21" t="s">
        <v>91</v>
      </c>
      <c r="E138" s="22"/>
      <c r="F138" s="9">
        <f t="shared" si="8"/>
        <v>0</v>
      </c>
      <c r="G138" s="13"/>
      <c r="H138" s="5">
        <f t="shared" si="9"/>
        <v>0</v>
      </c>
      <c r="I138" s="9">
        <f t="shared" si="10"/>
        <v>0</v>
      </c>
      <c r="J138" s="9">
        <f t="shared" si="11"/>
        <v>0</v>
      </c>
    </row>
    <row r="139" spans="1:10" ht="49.5" customHeight="1" thickBot="1" x14ac:dyDescent="0.3">
      <c r="A139" s="8">
        <v>136</v>
      </c>
      <c r="B139" s="10" t="s">
        <v>167</v>
      </c>
      <c r="C139" s="12">
        <v>16340</v>
      </c>
      <c r="D139" s="21" t="s">
        <v>91</v>
      </c>
      <c r="E139" s="22"/>
      <c r="F139" s="9">
        <f t="shared" si="8"/>
        <v>0</v>
      </c>
      <c r="G139" s="13"/>
      <c r="H139" s="5">
        <f t="shared" si="9"/>
        <v>0</v>
      </c>
      <c r="I139" s="9">
        <f t="shared" si="10"/>
        <v>0</v>
      </c>
      <c r="J139" s="9">
        <f t="shared" si="11"/>
        <v>0</v>
      </c>
    </row>
    <row r="140" spans="1:10" ht="49.5" customHeight="1" thickBot="1" x14ac:dyDescent="0.3">
      <c r="A140" s="8">
        <v>137</v>
      </c>
      <c r="B140" s="10" t="s">
        <v>168</v>
      </c>
      <c r="C140" s="12">
        <v>5000</v>
      </c>
      <c r="D140" s="21" t="s">
        <v>91</v>
      </c>
      <c r="E140" s="22"/>
      <c r="F140" s="9">
        <f t="shared" si="8"/>
        <v>0</v>
      </c>
      <c r="G140" s="13"/>
      <c r="H140" s="5">
        <f t="shared" si="9"/>
        <v>0</v>
      </c>
      <c r="I140" s="9">
        <f t="shared" si="10"/>
        <v>0</v>
      </c>
      <c r="J140" s="9">
        <f t="shared" si="11"/>
        <v>0</v>
      </c>
    </row>
    <row r="141" spans="1:10" ht="49.5" customHeight="1" thickBot="1" x14ac:dyDescent="0.3">
      <c r="A141" s="8">
        <v>138</v>
      </c>
      <c r="B141" s="15" t="s">
        <v>195</v>
      </c>
      <c r="C141" s="14">
        <v>120</v>
      </c>
      <c r="D141" s="21" t="s">
        <v>91</v>
      </c>
      <c r="E141" s="23"/>
      <c r="F141" s="9">
        <f t="shared" si="8"/>
        <v>0</v>
      </c>
      <c r="G141" s="20"/>
      <c r="H141" s="5">
        <f t="shared" si="9"/>
        <v>0</v>
      </c>
      <c r="I141" s="9">
        <f t="shared" si="10"/>
        <v>0</v>
      </c>
      <c r="J141" s="9">
        <f t="shared" si="11"/>
        <v>0</v>
      </c>
    </row>
    <row r="142" spans="1:10" ht="49.5" customHeight="1" thickBot="1" x14ac:dyDescent="0.3">
      <c r="A142" s="8">
        <v>139</v>
      </c>
      <c r="B142" s="15" t="s">
        <v>179</v>
      </c>
      <c r="C142" s="14">
        <v>120</v>
      </c>
      <c r="D142" s="21" t="s">
        <v>91</v>
      </c>
      <c r="E142" s="23"/>
      <c r="F142" s="9">
        <f t="shared" si="8"/>
        <v>0</v>
      </c>
      <c r="G142" s="20"/>
      <c r="H142" s="5">
        <f t="shared" si="9"/>
        <v>0</v>
      </c>
      <c r="I142" s="9">
        <f t="shared" si="10"/>
        <v>0</v>
      </c>
      <c r="J142" s="9">
        <f t="shared" si="11"/>
        <v>0</v>
      </c>
    </row>
    <row r="143" spans="1:10" ht="49.5" customHeight="1" thickBot="1" x14ac:dyDescent="0.3">
      <c r="A143" s="8">
        <v>140</v>
      </c>
      <c r="B143" s="15" t="s">
        <v>198</v>
      </c>
      <c r="C143" s="14">
        <v>180</v>
      </c>
      <c r="D143" s="21" t="s">
        <v>91</v>
      </c>
      <c r="E143" s="23"/>
      <c r="F143" s="9">
        <f t="shared" si="8"/>
        <v>0</v>
      </c>
      <c r="G143" s="20"/>
      <c r="H143" s="5">
        <f t="shared" si="9"/>
        <v>0</v>
      </c>
      <c r="I143" s="9">
        <f t="shared" si="10"/>
        <v>0</v>
      </c>
      <c r="J143" s="9">
        <f t="shared" si="11"/>
        <v>0</v>
      </c>
    </row>
    <row r="144" spans="1:10" ht="39" customHeight="1" thickBot="1" x14ac:dyDescent="0.3">
      <c r="A144" s="8">
        <v>141</v>
      </c>
      <c r="B144" s="15" t="s">
        <v>103</v>
      </c>
      <c r="C144" s="14">
        <v>75</v>
      </c>
      <c r="D144" s="21" t="s">
        <v>91</v>
      </c>
      <c r="E144" s="23"/>
      <c r="F144" s="9">
        <f t="shared" si="8"/>
        <v>0</v>
      </c>
      <c r="G144" s="20"/>
      <c r="H144" s="5">
        <f t="shared" si="9"/>
        <v>0</v>
      </c>
      <c r="I144" s="9">
        <f t="shared" si="10"/>
        <v>0</v>
      </c>
      <c r="J144" s="9">
        <f t="shared" si="11"/>
        <v>0</v>
      </c>
    </row>
    <row r="145" spans="1:10" ht="39" customHeight="1" thickBot="1" x14ac:dyDescent="0.3">
      <c r="A145" s="8">
        <v>142</v>
      </c>
      <c r="B145" s="15" t="s">
        <v>104</v>
      </c>
      <c r="C145" s="14">
        <v>75</v>
      </c>
      <c r="D145" s="21" t="s">
        <v>211</v>
      </c>
      <c r="E145" s="23">
        <v>15</v>
      </c>
      <c r="F145" s="9">
        <f t="shared" si="8"/>
        <v>1125</v>
      </c>
      <c r="G145" s="20"/>
      <c r="H145" s="5">
        <f t="shared" si="9"/>
        <v>-15</v>
      </c>
      <c r="I145" s="9">
        <f t="shared" si="10"/>
        <v>0</v>
      </c>
      <c r="J145" s="9">
        <f t="shared" si="11"/>
        <v>1125</v>
      </c>
    </row>
    <row r="146" spans="1:10" ht="49.5" customHeight="1" thickBot="1" x14ac:dyDescent="0.3">
      <c r="A146" s="8">
        <v>143</v>
      </c>
      <c r="B146" s="10" t="s">
        <v>105</v>
      </c>
      <c r="C146" s="12">
        <v>80</v>
      </c>
      <c r="D146" s="21" t="s">
        <v>211</v>
      </c>
      <c r="E146" s="22">
        <v>15</v>
      </c>
      <c r="F146" s="9">
        <f t="shared" si="8"/>
        <v>1200</v>
      </c>
      <c r="G146" s="13"/>
      <c r="H146" s="5">
        <f t="shared" si="9"/>
        <v>-15</v>
      </c>
      <c r="I146" s="9">
        <f t="shared" si="10"/>
        <v>0</v>
      </c>
      <c r="J146" s="9">
        <f t="shared" si="11"/>
        <v>1200</v>
      </c>
    </row>
    <row r="147" spans="1:10" ht="34.5" customHeight="1" thickBot="1" x14ac:dyDescent="0.3">
      <c r="A147" s="8">
        <v>144</v>
      </c>
      <c r="B147" s="15" t="s">
        <v>26</v>
      </c>
      <c r="C147" s="14">
        <v>75</v>
      </c>
      <c r="D147" s="21" t="s">
        <v>91</v>
      </c>
      <c r="E147" s="23"/>
      <c r="F147" s="9">
        <f t="shared" si="8"/>
        <v>0</v>
      </c>
      <c r="G147" s="20"/>
      <c r="H147" s="5">
        <f t="shared" si="9"/>
        <v>0</v>
      </c>
      <c r="I147" s="9">
        <f t="shared" si="10"/>
        <v>0</v>
      </c>
      <c r="J147" s="9">
        <f t="shared" si="11"/>
        <v>0</v>
      </c>
    </row>
    <row r="148" spans="1:10" ht="34.5" customHeight="1" thickBot="1" x14ac:dyDescent="0.3">
      <c r="A148" s="8">
        <v>145</v>
      </c>
      <c r="B148" s="15" t="s">
        <v>106</v>
      </c>
      <c r="C148" s="14">
        <v>75</v>
      </c>
      <c r="D148" s="21" t="s">
        <v>91</v>
      </c>
      <c r="E148" s="23"/>
      <c r="F148" s="9">
        <f t="shared" si="8"/>
        <v>0</v>
      </c>
      <c r="G148" s="20"/>
      <c r="H148" s="5">
        <f t="shared" si="9"/>
        <v>0</v>
      </c>
      <c r="I148" s="9">
        <f t="shared" si="10"/>
        <v>0</v>
      </c>
      <c r="J148" s="9">
        <f t="shared" si="11"/>
        <v>0</v>
      </c>
    </row>
    <row r="149" spans="1:10" ht="34.5" customHeight="1" thickBot="1" x14ac:dyDescent="0.3">
      <c r="A149" s="8">
        <v>146</v>
      </c>
      <c r="B149" s="15" t="s">
        <v>107</v>
      </c>
      <c r="C149" s="14">
        <v>75</v>
      </c>
      <c r="D149" s="21" t="s">
        <v>91</v>
      </c>
      <c r="E149" s="23"/>
      <c r="F149" s="9">
        <f t="shared" si="8"/>
        <v>0</v>
      </c>
      <c r="G149" s="20"/>
      <c r="H149" s="5">
        <f t="shared" si="9"/>
        <v>0</v>
      </c>
      <c r="I149" s="9">
        <f t="shared" si="10"/>
        <v>0</v>
      </c>
      <c r="J149" s="9">
        <f t="shared" si="11"/>
        <v>0</v>
      </c>
    </row>
    <row r="150" spans="1:10" ht="34.5" customHeight="1" thickBot="1" x14ac:dyDescent="0.3">
      <c r="A150" s="8">
        <v>147</v>
      </c>
      <c r="B150" s="10" t="s">
        <v>27</v>
      </c>
      <c r="C150" s="12">
        <v>180</v>
      </c>
      <c r="D150" s="21" t="s">
        <v>91</v>
      </c>
      <c r="E150" s="22"/>
      <c r="F150" s="9">
        <f t="shared" si="8"/>
        <v>0</v>
      </c>
      <c r="G150" s="13"/>
      <c r="H150" s="5">
        <f t="shared" si="9"/>
        <v>0</v>
      </c>
      <c r="I150" s="9">
        <f t="shared" si="10"/>
        <v>0</v>
      </c>
      <c r="J150" s="9">
        <f t="shared" si="11"/>
        <v>0</v>
      </c>
    </row>
    <row r="151" spans="1:10" ht="34.5" customHeight="1" thickBot="1" x14ac:dyDescent="0.3">
      <c r="A151" s="8">
        <v>148</v>
      </c>
      <c r="B151" s="15" t="s">
        <v>197</v>
      </c>
      <c r="C151" s="14">
        <v>120</v>
      </c>
      <c r="D151" s="21" t="s">
        <v>91</v>
      </c>
      <c r="E151" s="23"/>
      <c r="F151" s="9">
        <f t="shared" si="8"/>
        <v>0</v>
      </c>
      <c r="G151" s="20"/>
      <c r="H151" s="5">
        <f t="shared" si="9"/>
        <v>0</v>
      </c>
      <c r="I151" s="9">
        <f t="shared" si="10"/>
        <v>0</v>
      </c>
      <c r="J151" s="9">
        <f t="shared" si="11"/>
        <v>0</v>
      </c>
    </row>
    <row r="152" spans="1:10" ht="34.5" customHeight="1" thickBot="1" x14ac:dyDescent="0.3">
      <c r="A152" s="8">
        <v>149</v>
      </c>
      <c r="B152" s="15" t="s">
        <v>196</v>
      </c>
      <c r="C152" s="14">
        <v>120</v>
      </c>
      <c r="D152" s="21" t="s">
        <v>91</v>
      </c>
      <c r="E152" s="23"/>
      <c r="F152" s="9">
        <f t="shared" si="8"/>
        <v>0</v>
      </c>
      <c r="G152" s="20"/>
      <c r="H152" s="5">
        <f t="shared" si="9"/>
        <v>0</v>
      </c>
      <c r="I152" s="9">
        <f t="shared" si="10"/>
        <v>0</v>
      </c>
      <c r="J152" s="9">
        <f t="shared" si="11"/>
        <v>0</v>
      </c>
    </row>
    <row r="153" spans="1:10" ht="45.75" customHeight="1" thickBot="1" x14ac:dyDescent="0.3">
      <c r="A153" s="8">
        <v>150</v>
      </c>
      <c r="B153" s="15" t="s">
        <v>180</v>
      </c>
      <c r="C153" s="14">
        <v>120</v>
      </c>
      <c r="D153" s="21" t="s">
        <v>91</v>
      </c>
      <c r="E153" s="23"/>
      <c r="F153" s="9">
        <f t="shared" si="8"/>
        <v>0</v>
      </c>
      <c r="G153" s="20"/>
      <c r="H153" s="5">
        <f t="shared" si="9"/>
        <v>0</v>
      </c>
      <c r="I153" s="9">
        <f t="shared" si="10"/>
        <v>0</v>
      </c>
      <c r="J153" s="9">
        <f t="shared" si="11"/>
        <v>0</v>
      </c>
    </row>
    <row r="154" spans="1:10" ht="45.75" customHeight="1" thickBot="1" x14ac:dyDescent="0.3">
      <c r="A154" s="8">
        <v>151</v>
      </c>
      <c r="B154" s="15" t="s">
        <v>181</v>
      </c>
      <c r="C154" s="14">
        <v>120</v>
      </c>
      <c r="D154" s="21" t="s">
        <v>91</v>
      </c>
      <c r="E154" s="23"/>
      <c r="F154" s="9">
        <f t="shared" si="8"/>
        <v>0</v>
      </c>
      <c r="G154" s="20"/>
      <c r="H154" s="5">
        <f t="shared" si="9"/>
        <v>0</v>
      </c>
      <c r="I154" s="9">
        <f t="shared" si="10"/>
        <v>0</v>
      </c>
      <c r="J154" s="9">
        <f t="shared" si="11"/>
        <v>0</v>
      </c>
    </row>
    <row r="155" spans="1:10" ht="45.75" customHeight="1" thickBot="1" x14ac:dyDescent="0.3">
      <c r="A155" s="8">
        <v>152</v>
      </c>
      <c r="B155" s="15" t="s">
        <v>182</v>
      </c>
      <c r="C155" s="14">
        <v>120</v>
      </c>
      <c r="D155" s="21" t="s">
        <v>91</v>
      </c>
      <c r="E155" s="23"/>
      <c r="F155" s="9">
        <f t="shared" si="8"/>
        <v>0</v>
      </c>
      <c r="G155" s="20"/>
      <c r="H155" s="5">
        <f t="shared" si="9"/>
        <v>0</v>
      </c>
      <c r="I155" s="9">
        <f t="shared" si="10"/>
        <v>0</v>
      </c>
      <c r="J155" s="9">
        <f t="shared" si="11"/>
        <v>0</v>
      </c>
    </row>
    <row r="156" spans="1:10" ht="45.75" customHeight="1" thickBot="1" x14ac:dyDescent="0.3">
      <c r="A156" s="8">
        <v>153</v>
      </c>
      <c r="B156" s="15" t="s">
        <v>183</v>
      </c>
      <c r="C156" s="14">
        <v>120</v>
      </c>
      <c r="D156" s="21" t="s">
        <v>91</v>
      </c>
      <c r="E156" s="23"/>
      <c r="F156" s="9">
        <f t="shared" si="8"/>
        <v>0</v>
      </c>
      <c r="G156" s="20"/>
      <c r="H156" s="5">
        <f t="shared" si="9"/>
        <v>0</v>
      </c>
      <c r="I156" s="9">
        <f t="shared" si="10"/>
        <v>0</v>
      </c>
      <c r="J156" s="9">
        <f t="shared" si="11"/>
        <v>0</v>
      </c>
    </row>
    <row r="157" spans="1:10" ht="45.75" customHeight="1" thickBot="1" x14ac:dyDescent="0.3">
      <c r="A157" s="8">
        <v>154</v>
      </c>
      <c r="B157" s="15" t="s">
        <v>184</v>
      </c>
      <c r="C157" s="14">
        <v>120</v>
      </c>
      <c r="D157" s="21" t="s">
        <v>91</v>
      </c>
      <c r="E157" s="23"/>
      <c r="F157" s="9">
        <f t="shared" si="8"/>
        <v>0</v>
      </c>
      <c r="G157" s="20"/>
      <c r="H157" s="5">
        <f t="shared" si="9"/>
        <v>0</v>
      </c>
      <c r="I157" s="9">
        <f t="shared" si="10"/>
        <v>0</v>
      </c>
      <c r="J157" s="9">
        <f t="shared" si="11"/>
        <v>0</v>
      </c>
    </row>
    <row r="158" spans="1:10" ht="57.75" customHeight="1" thickBot="1" x14ac:dyDescent="0.3">
      <c r="A158" s="8">
        <v>155</v>
      </c>
      <c r="B158" s="15" t="s">
        <v>185</v>
      </c>
      <c r="C158" s="14">
        <v>120</v>
      </c>
      <c r="D158" s="21" t="s">
        <v>91</v>
      </c>
      <c r="E158" s="23"/>
      <c r="F158" s="9">
        <f t="shared" si="8"/>
        <v>0</v>
      </c>
      <c r="G158" s="20"/>
      <c r="H158" s="5">
        <f t="shared" si="9"/>
        <v>0</v>
      </c>
      <c r="I158" s="9">
        <f t="shared" si="10"/>
        <v>0</v>
      </c>
      <c r="J158" s="9">
        <f t="shared" si="11"/>
        <v>0</v>
      </c>
    </row>
    <row r="159" spans="1:10" ht="66.75" customHeight="1" thickBot="1" x14ac:dyDescent="0.3">
      <c r="A159" s="8">
        <v>156</v>
      </c>
      <c r="B159" s="15" t="s">
        <v>186</v>
      </c>
      <c r="C159" s="14">
        <v>120</v>
      </c>
      <c r="D159" s="21" t="s">
        <v>91</v>
      </c>
      <c r="E159" s="23"/>
      <c r="F159" s="9">
        <f t="shared" si="8"/>
        <v>0</v>
      </c>
      <c r="G159" s="20"/>
      <c r="H159" s="5">
        <f t="shared" si="9"/>
        <v>0</v>
      </c>
      <c r="I159" s="9">
        <f t="shared" si="10"/>
        <v>0</v>
      </c>
      <c r="J159" s="9">
        <f t="shared" si="11"/>
        <v>0</v>
      </c>
    </row>
    <row r="160" spans="1:10" ht="53.25" customHeight="1" thickBot="1" x14ac:dyDescent="0.3">
      <c r="A160" s="8">
        <v>157</v>
      </c>
      <c r="B160" s="15" t="s">
        <v>187</v>
      </c>
      <c r="C160" s="14">
        <v>120</v>
      </c>
      <c r="D160" s="21" t="s">
        <v>91</v>
      </c>
      <c r="E160" s="23"/>
      <c r="F160" s="9">
        <f t="shared" si="8"/>
        <v>0</v>
      </c>
      <c r="G160" s="20"/>
      <c r="H160" s="5">
        <f t="shared" si="9"/>
        <v>0</v>
      </c>
      <c r="I160" s="9">
        <f t="shared" si="10"/>
        <v>0</v>
      </c>
      <c r="J160" s="9">
        <f t="shared" si="11"/>
        <v>0</v>
      </c>
    </row>
    <row r="161" spans="1:10" ht="53.25" customHeight="1" thickBot="1" x14ac:dyDescent="0.3">
      <c r="A161" s="8">
        <v>158</v>
      </c>
      <c r="B161" s="15" t="s">
        <v>188</v>
      </c>
      <c r="C161" s="14">
        <v>120</v>
      </c>
      <c r="D161" s="21" t="s">
        <v>91</v>
      </c>
      <c r="E161" s="23"/>
      <c r="F161" s="9">
        <f t="shared" si="8"/>
        <v>0</v>
      </c>
      <c r="G161" s="20"/>
      <c r="H161" s="5">
        <f t="shared" si="9"/>
        <v>0</v>
      </c>
      <c r="I161" s="9">
        <f t="shared" si="10"/>
        <v>0</v>
      </c>
      <c r="J161" s="9">
        <f t="shared" si="11"/>
        <v>0</v>
      </c>
    </row>
    <row r="162" spans="1:10" ht="53.25" customHeight="1" thickBot="1" x14ac:dyDescent="0.3">
      <c r="A162" s="8">
        <v>159</v>
      </c>
      <c r="B162" s="15" t="s">
        <v>189</v>
      </c>
      <c r="C162" s="14">
        <v>120</v>
      </c>
      <c r="D162" s="21" t="s">
        <v>91</v>
      </c>
      <c r="E162" s="23"/>
      <c r="F162" s="9">
        <f t="shared" si="8"/>
        <v>0</v>
      </c>
      <c r="G162" s="20"/>
      <c r="H162" s="5">
        <f t="shared" si="9"/>
        <v>0</v>
      </c>
      <c r="I162" s="9">
        <f t="shared" si="10"/>
        <v>0</v>
      </c>
      <c r="J162" s="9">
        <f t="shared" si="11"/>
        <v>0</v>
      </c>
    </row>
    <row r="163" spans="1:10" ht="53.25" customHeight="1" thickBot="1" x14ac:dyDescent="0.3">
      <c r="A163" s="8">
        <v>160</v>
      </c>
      <c r="B163" s="15" t="s">
        <v>190</v>
      </c>
      <c r="C163" s="14">
        <v>120</v>
      </c>
      <c r="D163" s="21" t="s">
        <v>91</v>
      </c>
      <c r="E163" s="23"/>
      <c r="F163" s="9">
        <f t="shared" si="8"/>
        <v>0</v>
      </c>
      <c r="G163" s="20"/>
      <c r="H163" s="5">
        <f t="shared" si="9"/>
        <v>0</v>
      </c>
      <c r="I163" s="9">
        <f t="shared" si="10"/>
        <v>0</v>
      </c>
      <c r="J163" s="9">
        <f t="shared" si="11"/>
        <v>0</v>
      </c>
    </row>
    <row r="164" spans="1:10" ht="53.25" customHeight="1" thickBot="1" x14ac:dyDescent="0.3">
      <c r="A164" s="8">
        <v>161</v>
      </c>
      <c r="B164" s="15" t="s">
        <v>191</v>
      </c>
      <c r="C164" s="14">
        <v>120</v>
      </c>
      <c r="D164" s="21" t="s">
        <v>91</v>
      </c>
      <c r="E164" s="23"/>
      <c r="F164" s="9">
        <f t="shared" si="8"/>
        <v>0</v>
      </c>
      <c r="G164" s="20"/>
      <c r="H164" s="5">
        <f t="shared" si="9"/>
        <v>0</v>
      </c>
      <c r="I164" s="9">
        <f t="shared" si="10"/>
        <v>0</v>
      </c>
      <c r="J164" s="9">
        <f t="shared" si="11"/>
        <v>0</v>
      </c>
    </row>
    <row r="165" spans="1:10" ht="51.75" customHeight="1" thickBot="1" x14ac:dyDescent="0.3">
      <c r="A165" s="8">
        <v>162</v>
      </c>
      <c r="B165" s="15" t="s">
        <v>192</v>
      </c>
      <c r="C165" s="14">
        <v>120</v>
      </c>
      <c r="D165" s="21" t="s">
        <v>91</v>
      </c>
      <c r="E165" s="23"/>
      <c r="F165" s="9">
        <f t="shared" si="8"/>
        <v>0</v>
      </c>
      <c r="G165" s="20"/>
      <c r="H165" s="5">
        <f t="shared" si="9"/>
        <v>0</v>
      </c>
      <c r="I165" s="9">
        <f t="shared" si="10"/>
        <v>0</v>
      </c>
      <c r="J165" s="9">
        <f t="shared" si="11"/>
        <v>0</v>
      </c>
    </row>
    <row r="166" spans="1:10" ht="40.5" customHeight="1" thickBot="1" x14ac:dyDescent="0.3">
      <c r="A166" s="8">
        <v>163</v>
      </c>
      <c r="B166" s="15" t="s">
        <v>193</v>
      </c>
      <c r="C166" s="14">
        <v>120</v>
      </c>
      <c r="D166" s="21" t="s">
        <v>91</v>
      </c>
      <c r="E166" s="23"/>
      <c r="F166" s="9">
        <f t="shared" si="8"/>
        <v>0</v>
      </c>
      <c r="G166" s="20"/>
      <c r="H166" s="5">
        <f t="shared" si="9"/>
        <v>0</v>
      </c>
      <c r="I166" s="9">
        <f t="shared" si="10"/>
        <v>0</v>
      </c>
      <c r="J166" s="9">
        <f t="shared" si="11"/>
        <v>0</v>
      </c>
    </row>
    <row r="167" spans="1:10" ht="39" customHeight="1" thickBot="1" x14ac:dyDescent="0.3">
      <c r="A167" s="8">
        <v>164</v>
      </c>
      <c r="B167" s="15" t="s">
        <v>108</v>
      </c>
      <c r="C167" s="14">
        <v>75</v>
      </c>
      <c r="D167" s="21" t="s">
        <v>211</v>
      </c>
      <c r="E167" s="23">
        <v>6</v>
      </c>
      <c r="F167" s="9">
        <f t="shared" si="8"/>
        <v>450</v>
      </c>
      <c r="G167" s="20"/>
      <c r="H167" s="5">
        <f t="shared" si="9"/>
        <v>-6</v>
      </c>
      <c r="I167" s="9">
        <f t="shared" si="10"/>
        <v>0</v>
      </c>
      <c r="J167" s="9">
        <f t="shared" si="11"/>
        <v>450</v>
      </c>
    </row>
    <row r="168" spans="1:10" ht="39" customHeight="1" thickBot="1" x14ac:dyDescent="0.3">
      <c r="A168" s="8">
        <v>165</v>
      </c>
      <c r="B168" s="10" t="s">
        <v>28</v>
      </c>
      <c r="C168" s="12">
        <v>193.5</v>
      </c>
      <c r="D168" s="21" t="s">
        <v>91</v>
      </c>
      <c r="E168" s="22"/>
      <c r="F168" s="9">
        <f t="shared" si="8"/>
        <v>0</v>
      </c>
      <c r="G168" s="13"/>
      <c r="H168" s="5">
        <f t="shared" si="9"/>
        <v>0</v>
      </c>
      <c r="I168" s="9">
        <f t="shared" si="10"/>
        <v>0</v>
      </c>
      <c r="J168" s="9">
        <f t="shared" si="11"/>
        <v>0</v>
      </c>
    </row>
    <row r="169" spans="1:10" ht="51.75" customHeight="1" thickBot="1" x14ac:dyDescent="0.3">
      <c r="A169" s="8">
        <v>166</v>
      </c>
      <c r="B169" s="15" t="s">
        <v>194</v>
      </c>
      <c r="C169" s="14">
        <v>120</v>
      </c>
      <c r="D169" s="21" t="s">
        <v>91</v>
      </c>
      <c r="E169" s="23"/>
      <c r="F169" s="9">
        <f t="shared" si="8"/>
        <v>0</v>
      </c>
      <c r="G169" s="20"/>
      <c r="H169" s="5">
        <f t="shared" si="9"/>
        <v>0</v>
      </c>
      <c r="I169" s="9">
        <f t="shared" si="10"/>
        <v>0</v>
      </c>
      <c r="J169" s="9">
        <f t="shared" si="11"/>
        <v>0</v>
      </c>
    </row>
    <row r="170" spans="1:10" ht="37.5" customHeight="1" thickBot="1" x14ac:dyDescent="0.3">
      <c r="A170" s="8">
        <v>167</v>
      </c>
      <c r="B170" s="15" t="s">
        <v>109</v>
      </c>
      <c r="C170" s="14">
        <v>75</v>
      </c>
      <c r="D170" s="21" t="s">
        <v>91</v>
      </c>
      <c r="E170" s="23"/>
      <c r="F170" s="9">
        <f t="shared" si="8"/>
        <v>0</v>
      </c>
      <c r="G170" s="20"/>
      <c r="H170" s="5">
        <f t="shared" si="9"/>
        <v>0</v>
      </c>
      <c r="I170" s="9">
        <f t="shared" si="10"/>
        <v>0</v>
      </c>
      <c r="J170" s="9">
        <f t="shared" si="11"/>
        <v>0</v>
      </c>
    </row>
    <row r="171" spans="1:10" ht="37.5" customHeight="1" thickBot="1" x14ac:dyDescent="0.3">
      <c r="A171" s="8">
        <v>168</v>
      </c>
      <c r="B171" s="15" t="s">
        <v>110</v>
      </c>
      <c r="C171" s="14">
        <v>75</v>
      </c>
      <c r="D171" s="21" t="s">
        <v>211</v>
      </c>
      <c r="E171" s="23">
        <v>6</v>
      </c>
      <c r="F171" s="9">
        <f t="shared" si="8"/>
        <v>450</v>
      </c>
      <c r="G171" s="20"/>
      <c r="H171" s="5">
        <f t="shared" si="9"/>
        <v>-6</v>
      </c>
      <c r="I171" s="9">
        <f t="shared" si="10"/>
        <v>0</v>
      </c>
      <c r="J171" s="9">
        <f t="shared" si="11"/>
        <v>450</v>
      </c>
    </row>
    <row r="172" spans="1:10" ht="36.75" customHeight="1" thickBot="1" x14ac:dyDescent="0.3">
      <c r="A172" s="8">
        <v>169</v>
      </c>
      <c r="B172" s="15" t="s">
        <v>111</v>
      </c>
      <c r="C172" s="14">
        <v>75</v>
      </c>
      <c r="D172" s="21" t="s">
        <v>211</v>
      </c>
      <c r="E172" s="23">
        <v>15</v>
      </c>
      <c r="F172" s="9">
        <f t="shared" si="8"/>
        <v>1125</v>
      </c>
      <c r="G172" s="20"/>
      <c r="H172" s="5">
        <f t="shared" si="9"/>
        <v>-15</v>
      </c>
      <c r="I172" s="9">
        <f t="shared" si="10"/>
        <v>0</v>
      </c>
      <c r="J172" s="9">
        <f t="shared" si="11"/>
        <v>1125</v>
      </c>
    </row>
    <row r="173" spans="1:10" ht="36.75" customHeight="1" thickBot="1" x14ac:dyDescent="0.3">
      <c r="A173" s="8">
        <v>170</v>
      </c>
      <c r="B173" s="10" t="s">
        <v>29</v>
      </c>
      <c r="C173" s="12">
        <v>70</v>
      </c>
      <c r="D173" s="21" t="s">
        <v>91</v>
      </c>
      <c r="E173" s="22"/>
      <c r="F173" s="9">
        <f t="shared" si="8"/>
        <v>0</v>
      </c>
      <c r="G173" s="13"/>
      <c r="H173" s="5">
        <f t="shared" si="9"/>
        <v>0</v>
      </c>
      <c r="I173" s="9">
        <f t="shared" si="10"/>
        <v>0</v>
      </c>
      <c r="J173" s="9">
        <f t="shared" si="11"/>
        <v>0</v>
      </c>
    </row>
    <row r="174" spans="1:10" ht="36.75" customHeight="1" thickBot="1" x14ac:dyDescent="0.3">
      <c r="A174" s="8">
        <v>171</v>
      </c>
      <c r="B174" s="15" t="s">
        <v>29</v>
      </c>
      <c r="C174" s="14">
        <v>120</v>
      </c>
      <c r="D174" s="21" t="s">
        <v>91</v>
      </c>
      <c r="E174" s="23"/>
      <c r="F174" s="9">
        <f t="shared" si="8"/>
        <v>0</v>
      </c>
      <c r="G174" s="20"/>
      <c r="H174" s="5">
        <f t="shared" si="9"/>
        <v>0</v>
      </c>
      <c r="I174" s="9">
        <f t="shared" si="10"/>
        <v>0</v>
      </c>
      <c r="J174" s="9">
        <f t="shared" si="11"/>
        <v>0</v>
      </c>
    </row>
    <row r="175" spans="1:10" ht="36.75" customHeight="1" thickBot="1" x14ac:dyDescent="0.3">
      <c r="A175" s="8">
        <v>172</v>
      </c>
      <c r="B175" s="15" t="s">
        <v>199</v>
      </c>
      <c r="C175" s="14">
        <v>180</v>
      </c>
      <c r="D175" s="21" t="s">
        <v>91</v>
      </c>
      <c r="E175" s="23"/>
      <c r="F175" s="9">
        <f t="shared" si="8"/>
        <v>0</v>
      </c>
      <c r="G175" s="20"/>
      <c r="H175" s="5">
        <f t="shared" si="9"/>
        <v>0</v>
      </c>
      <c r="I175" s="9">
        <f t="shared" si="10"/>
        <v>0</v>
      </c>
      <c r="J175" s="9">
        <f t="shared" si="11"/>
        <v>0</v>
      </c>
    </row>
    <row r="176" spans="1:10" ht="36.75" customHeight="1" thickBot="1" x14ac:dyDescent="0.3">
      <c r="A176" s="8">
        <v>173</v>
      </c>
      <c r="B176" s="15" t="s">
        <v>200</v>
      </c>
      <c r="C176" s="14">
        <v>180</v>
      </c>
      <c r="D176" s="21" t="s">
        <v>91</v>
      </c>
      <c r="E176" s="23"/>
      <c r="F176" s="9">
        <f t="shared" si="8"/>
        <v>0</v>
      </c>
      <c r="G176" s="20"/>
      <c r="H176" s="5">
        <f t="shared" si="9"/>
        <v>0</v>
      </c>
      <c r="I176" s="9">
        <f t="shared" si="10"/>
        <v>0</v>
      </c>
      <c r="J176" s="9">
        <f t="shared" si="11"/>
        <v>0</v>
      </c>
    </row>
    <row r="177" spans="1:10" ht="36.75" customHeight="1" thickBot="1" x14ac:dyDescent="0.3">
      <c r="A177" s="8">
        <v>174</v>
      </c>
      <c r="B177" s="15" t="s">
        <v>201</v>
      </c>
      <c r="C177" s="14">
        <v>180</v>
      </c>
      <c r="D177" s="21" t="s">
        <v>91</v>
      </c>
      <c r="E177" s="23"/>
      <c r="F177" s="9">
        <f t="shared" si="8"/>
        <v>0</v>
      </c>
      <c r="G177" s="20"/>
      <c r="H177" s="5">
        <f t="shared" si="9"/>
        <v>0</v>
      </c>
      <c r="I177" s="9">
        <f t="shared" si="10"/>
        <v>0</v>
      </c>
      <c r="J177" s="9">
        <f t="shared" si="11"/>
        <v>0</v>
      </c>
    </row>
    <row r="178" spans="1:10" ht="36.75" customHeight="1" thickBot="1" x14ac:dyDescent="0.3">
      <c r="A178" s="8">
        <v>175</v>
      </c>
      <c r="B178" s="10" t="s">
        <v>30</v>
      </c>
      <c r="C178" s="12">
        <v>70</v>
      </c>
      <c r="D178" s="21" t="s">
        <v>91</v>
      </c>
      <c r="E178" s="22"/>
      <c r="F178" s="9">
        <f t="shared" si="8"/>
        <v>0</v>
      </c>
      <c r="G178" s="13"/>
      <c r="H178" s="5">
        <f t="shared" si="9"/>
        <v>0</v>
      </c>
      <c r="I178" s="9">
        <f t="shared" si="10"/>
        <v>0</v>
      </c>
      <c r="J178" s="9">
        <f t="shared" si="11"/>
        <v>0</v>
      </c>
    </row>
    <row r="179" spans="1:10" ht="36.75" customHeight="1" thickBot="1" x14ac:dyDescent="0.3">
      <c r="A179" s="8">
        <v>176</v>
      </c>
      <c r="B179" s="15" t="s">
        <v>112</v>
      </c>
      <c r="C179" s="14">
        <v>75</v>
      </c>
      <c r="D179" s="21" t="s">
        <v>91</v>
      </c>
      <c r="E179" s="23"/>
      <c r="F179" s="9">
        <f t="shared" si="8"/>
        <v>0</v>
      </c>
      <c r="G179" s="20"/>
      <c r="H179" s="5">
        <f t="shared" si="9"/>
        <v>0</v>
      </c>
      <c r="I179" s="9">
        <f t="shared" si="10"/>
        <v>0</v>
      </c>
      <c r="J179" s="9">
        <f t="shared" si="11"/>
        <v>0</v>
      </c>
    </row>
    <row r="180" spans="1:10" ht="36.75" customHeight="1" thickBot="1" x14ac:dyDescent="0.3">
      <c r="A180" s="8">
        <v>177</v>
      </c>
      <c r="B180" s="15" t="s">
        <v>31</v>
      </c>
      <c r="C180" s="14">
        <v>75</v>
      </c>
      <c r="D180" s="21" t="s">
        <v>91</v>
      </c>
      <c r="E180" s="23"/>
      <c r="F180" s="9">
        <f t="shared" si="8"/>
        <v>0</v>
      </c>
      <c r="G180" s="20"/>
      <c r="H180" s="5">
        <f t="shared" si="9"/>
        <v>0</v>
      </c>
      <c r="I180" s="9">
        <f t="shared" si="10"/>
        <v>0</v>
      </c>
      <c r="J180" s="9">
        <f t="shared" si="11"/>
        <v>0</v>
      </c>
    </row>
    <row r="181" spans="1:10" ht="36.75" customHeight="1" thickBot="1" x14ac:dyDescent="0.3">
      <c r="A181" s="8">
        <v>178</v>
      </c>
      <c r="B181" s="15" t="s">
        <v>32</v>
      </c>
      <c r="C181" s="14">
        <v>75</v>
      </c>
      <c r="D181" s="21" t="s">
        <v>91</v>
      </c>
      <c r="E181" s="23"/>
      <c r="F181" s="9">
        <f t="shared" si="8"/>
        <v>0</v>
      </c>
      <c r="G181" s="20"/>
      <c r="H181" s="5">
        <f t="shared" si="9"/>
        <v>0</v>
      </c>
      <c r="I181" s="9">
        <f t="shared" si="10"/>
        <v>0</v>
      </c>
      <c r="J181" s="9">
        <f t="shared" si="11"/>
        <v>0</v>
      </c>
    </row>
    <row r="182" spans="1:10" ht="37.5" customHeight="1" thickBot="1" x14ac:dyDescent="0.3">
      <c r="A182" s="8">
        <v>179</v>
      </c>
      <c r="B182" s="15" t="s">
        <v>33</v>
      </c>
      <c r="C182" s="14">
        <v>75</v>
      </c>
      <c r="D182" s="21" t="s">
        <v>211</v>
      </c>
      <c r="E182" s="23">
        <v>10</v>
      </c>
      <c r="F182" s="9">
        <f t="shared" si="8"/>
        <v>750</v>
      </c>
      <c r="G182" s="20"/>
      <c r="H182" s="5">
        <f t="shared" si="9"/>
        <v>-10</v>
      </c>
      <c r="I182" s="9">
        <f t="shared" si="10"/>
        <v>0</v>
      </c>
      <c r="J182" s="9">
        <f t="shared" si="11"/>
        <v>750</v>
      </c>
    </row>
    <row r="183" spans="1:10" ht="37.5" customHeight="1" thickBot="1" x14ac:dyDescent="0.3">
      <c r="A183" s="8">
        <v>180</v>
      </c>
      <c r="B183" s="15" t="s">
        <v>177</v>
      </c>
      <c r="C183" s="14">
        <v>75</v>
      </c>
      <c r="D183" s="21" t="s">
        <v>91</v>
      </c>
      <c r="E183" s="23"/>
      <c r="F183" s="9">
        <f t="shared" si="8"/>
        <v>0</v>
      </c>
      <c r="G183" s="20"/>
      <c r="H183" s="5">
        <f t="shared" si="9"/>
        <v>0</v>
      </c>
      <c r="I183" s="9">
        <f t="shared" si="10"/>
        <v>0</v>
      </c>
      <c r="J183" s="9">
        <f t="shared" si="11"/>
        <v>0</v>
      </c>
    </row>
    <row r="184" spans="1:10" ht="37.5" customHeight="1" thickBot="1" x14ac:dyDescent="0.3">
      <c r="A184" s="8">
        <v>181</v>
      </c>
      <c r="B184" s="15" t="s">
        <v>113</v>
      </c>
      <c r="C184" s="14">
        <v>75</v>
      </c>
      <c r="D184" s="21" t="s">
        <v>91</v>
      </c>
      <c r="E184" s="23"/>
      <c r="F184" s="9">
        <f t="shared" si="8"/>
        <v>0</v>
      </c>
      <c r="G184" s="20"/>
      <c r="H184" s="5">
        <f t="shared" si="9"/>
        <v>0</v>
      </c>
      <c r="I184" s="9">
        <f t="shared" si="10"/>
        <v>0</v>
      </c>
      <c r="J184" s="9">
        <f t="shared" si="11"/>
        <v>0</v>
      </c>
    </row>
    <row r="185" spans="1:10" ht="37.5" customHeight="1" thickBot="1" x14ac:dyDescent="0.3">
      <c r="A185" s="8">
        <v>182</v>
      </c>
      <c r="B185" s="15" t="s">
        <v>178</v>
      </c>
      <c r="C185" s="14">
        <v>75</v>
      </c>
      <c r="D185" s="21" t="s">
        <v>211</v>
      </c>
      <c r="E185" s="23">
        <v>5</v>
      </c>
      <c r="F185" s="9">
        <f t="shared" si="8"/>
        <v>375</v>
      </c>
      <c r="G185" s="20"/>
      <c r="H185" s="5">
        <f t="shared" si="9"/>
        <v>-5</v>
      </c>
      <c r="I185" s="9">
        <f t="shared" si="10"/>
        <v>0</v>
      </c>
      <c r="J185" s="9">
        <f t="shared" si="11"/>
        <v>375</v>
      </c>
    </row>
    <row r="186" spans="1:10" ht="37.5" customHeight="1" thickBot="1" x14ac:dyDescent="0.3">
      <c r="A186" s="8">
        <v>183</v>
      </c>
      <c r="B186" s="15" t="s">
        <v>114</v>
      </c>
      <c r="C186" s="14">
        <v>75</v>
      </c>
      <c r="D186" s="21" t="s">
        <v>91</v>
      </c>
      <c r="E186" s="23"/>
      <c r="F186" s="9">
        <f t="shared" si="8"/>
        <v>0</v>
      </c>
      <c r="G186" s="20"/>
      <c r="H186" s="5">
        <f t="shared" si="9"/>
        <v>0</v>
      </c>
      <c r="I186" s="9">
        <f t="shared" si="10"/>
        <v>0</v>
      </c>
      <c r="J186" s="9">
        <f t="shared" si="11"/>
        <v>0</v>
      </c>
    </row>
    <row r="187" spans="1:10" ht="41.25" customHeight="1" thickBot="1" x14ac:dyDescent="0.3">
      <c r="A187" s="8">
        <v>184</v>
      </c>
      <c r="B187" s="10" t="s">
        <v>116</v>
      </c>
      <c r="C187" s="12">
        <v>120</v>
      </c>
      <c r="D187" s="21" t="s">
        <v>91</v>
      </c>
      <c r="E187" s="22"/>
      <c r="F187" s="9">
        <f t="shared" si="8"/>
        <v>0</v>
      </c>
      <c r="G187" s="13"/>
      <c r="H187" s="5">
        <f t="shared" si="9"/>
        <v>0</v>
      </c>
      <c r="I187" s="9">
        <f t="shared" si="10"/>
        <v>0</v>
      </c>
      <c r="J187" s="9">
        <f t="shared" si="11"/>
        <v>0</v>
      </c>
    </row>
    <row r="188" spans="1:10" ht="33" customHeight="1" thickBot="1" x14ac:dyDescent="0.3">
      <c r="A188" s="8">
        <v>185</v>
      </c>
      <c r="B188" s="15" t="s">
        <v>115</v>
      </c>
      <c r="C188" s="14">
        <v>75</v>
      </c>
      <c r="D188" s="21" t="s">
        <v>211</v>
      </c>
      <c r="E188" s="23">
        <v>6</v>
      </c>
      <c r="F188" s="9">
        <f t="shared" si="8"/>
        <v>450</v>
      </c>
      <c r="G188" s="20"/>
      <c r="H188" s="5">
        <f t="shared" si="9"/>
        <v>-6</v>
      </c>
      <c r="I188" s="9">
        <f t="shared" si="10"/>
        <v>0</v>
      </c>
      <c r="J188" s="9">
        <f t="shared" si="11"/>
        <v>450</v>
      </c>
    </row>
    <row r="189" spans="1:10" ht="51.75" customHeight="1" thickBot="1" x14ac:dyDescent="0.3">
      <c r="A189" s="8">
        <v>186</v>
      </c>
      <c r="B189" s="10" t="s">
        <v>169</v>
      </c>
      <c r="C189" s="12">
        <v>7800</v>
      </c>
      <c r="D189" s="21" t="s">
        <v>91</v>
      </c>
      <c r="E189" s="21"/>
      <c r="F189" s="9">
        <f t="shared" si="8"/>
        <v>0</v>
      </c>
      <c r="G189" s="13"/>
      <c r="H189" s="5">
        <f t="shared" si="9"/>
        <v>0</v>
      </c>
      <c r="I189" s="9">
        <f t="shared" si="10"/>
        <v>0</v>
      </c>
      <c r="J189" s="9">
        <f t="shared" si="11"/>
        <v>0</v>
      </c>
    </row>
    <row r="190" spans="1:10" ht="33" customHeight="1" thickBot="1" x14ac:dyDescent="0.3">
      <c r="A190" s="8">
        <v>187</v>
      </c>
      <c r="B190" s="10" t="s">
        <v>66</v>
      </c>
      <c r="C190" s="12">
        <v>228</v>
      </c>
      <c r="D190" s="21" t="s">
        <v>91</v>
      </c>
      <c r="E190" s="21"/>
      <c r="F190" s="9">
        <f t="shared" si="8"/>
        <v>0</v>
      </c>
      <c r="G190" s="13"/>
      <c r="H190" s="5">
        <f t="shared" si="9"/>
        <v>0</v>
      </c>
      <c r="I190" s="9">
        <f t="shared" si="10"/>
        <v>0</v>
      </c>
      <c r="J190" s="9">
        <f t="shared" si="11"/>
        <v>0</v>
      </c>
    </row>
    <row r="191" spans="1:10" ht="36.75" customHeight="1" thickBot="1" x14ac:dyDescent="0.3">
      <c r="A191" s="8">
        <v>188</v>
      </c>
      <c r="B191" s="10" t="s">
        <v>34</v>
      </c>
      <c r="C191" s="12">
        <v>213</v>
      </c>
      <c r="D191" s="21" t="s">
        <v>91</v>
      </c>
      <c r="E191" s="21"/>
      <c r="F191" s="9">
        <f t="shared" si="8"/>
        <v>0</v>
      </c>
      <c r="G191" s="13"/>
      <c r="H191" s="5">
        <f t="shared" si="9"/>
        <v>0</v>
      </c>
      <c r="I191" s="9">
        <f t="shared" si="10"/>
        <v>0</v>
      </c>
      <c r="J191" s="9">
        <f t="shared" si="11"/>
        <v>0</v>
      </c>
    </row>
    <row r="192" spans="1:10" ht="33" customHeight="1" thickBot="1" x14ac:dyDescent="0.3">
      <c r="A192" s="8">
        <v>189</v>
      </c>
      <c r="B192" s="10" t="s">
        <v>35</v>
      </c>
      <c r="C192" s="12">
        <v>275</v>
      </c>
      <c r="D192" s="21" t="s">
        <v>91</v>
      </c>
      <c r="E192" s="21"/>
      <c r="F192" s="9">
        <f t="shared" si="8"/>
        <v>0</v>
      </c>
      <c r="G192" s="13"/>
      <c r="H192" s="5">
        <f t="shared" si="9"/>
        <v>0</v>
      </c>
      <c r="I192" s="9">
        <f t="shared" si="10"/>
        <v>0</v>
      </c>
      <c r="J192" s="9">
        <f t="shared" si="11"/>
        <v>0</v>
      </c>
    </row>
    <row r="193" spans="1:10" ht="33" customHeight="1" thickBot="1" x14ac:dyDescent="0.3">
      <c r="A193" s="8">
        <v>190</v>
      </c>
      <c r="B193" s="10" t="s">
        <v>36</v>
      </c>
      <c r="C193" s="12">
        <v>213</v>
      </c>
      <c r="D193" s="21" t="s">
        <v>91</v>
      </c>
      <c r="E193" s="21"/>
      <c r="F193" s="9">
        <f t="shared" si="8"/>
        <v>0</v>
      </c>
      <c r="G193" s="13"/>
      <c r="H193" s="5">
        <f t="shared" si="9"/>
        <v>0</v>
      </c>
      <c r="I193" s="9">
        <f t="shared" si="10"/>
        <v>0</v>
      </c>
      <c r="J193" s="9">
        <f t="shared" si="11"/>
        <v>0</v>
      </c>
    </row>
    <row r="194" spans="1:10" ht="33" customHeight="1" thickBot="1" x14ac:dyDescent="0.3">
      <c r="A194" s="8">
        <v>191</v>
      </c>
      <c r="B194" s="10" t="s">
        <v>37</v>
      </c>
      <c r="C194" s="12">
        <v>213</v>
      </c>
      <c r="D194" s="21" t="s">
        <v>91</v>
      </c>
      <c r="E194" s="21"/>
      <c r="F194" s="9">
        <f t="shared" si="8"/>
        <v>0</v>
      </c>
      <c r="G194" s="13"/>
      <c r="H194" s="5">
        <f t="shared" si="9"/>
        <v>0</v>
      </c>
      <c r="I194" s="9">
        <f t="shared" si="10"/>
        <v>0</v>
      </c>
      <c r="J194" s="9">
        <f t="shared" si="11"/>
        <v>0</v>
      </c>
    </row>
    <row r="195" spans="1:10" ht="39.75" customHeight="1" thickBot="1" x14ac:dyDescent="0.3">
      <c r="A195" s="8">
        <v>192</v>
      </c>
      <c r="B195" s="10" t="s">
        <v>70</v>
      </c>
      <c r="C195" s="12">
        <v>215</v>
      </c>
      <c r="D195" s="21" t="s">
        <v>91</v>
      </c>
      <c r="E195" s="21"/>
      <c r="F195" s="9">
        <f t="shared" si="8"/>
        <v>0</v>
      </c>
      <c r="G195" s="13"/>
      <c r="H195" s="5">
        <f t="shared" si="9"/>
        <v>0</v>
      </c>
      <c r="I195" s="9">
        <f t="shared" si="10"/>
        <v>0</v>
      </c>
      <c r="J195" s="9">
        <f t="shared" si="11"/>
        <v>0</v>
      </c>
    </row>
    <row r="196" spans="1:10" s="19" customFormat="1" ht="32.25" customHeight="1" thickBot="1" x14ac:dyDescent="0.3">
      <c r="A196" s="25" t="s">
        <v>93</v>
      </c>
      <c r="B196" s="25"/>
      <c r="C196" s="25"/>
      <c r="D196" s="25"/>
      <c r="E196" s="25"/>
      <c r="F196" s="17">
        <f>SUBTOTAL(9,F4:F195)</f>
        <v>26447</v>
      </c>
      <c r="G196" s="25" t="s">
        <v>99</v>
      </c>
      <c r="H196" s="25"/>
      <c r="I196" s="25"/>
      <c r="J196" s="18">
        <f>SUBTOTAL(9,J4:J195)</f>
        <v>26447</v>
      </c>
    </row>
    <row r="197" spans="1:10" s="19" customFormat="1" ht="32.25" customHeight="1" thickBot="1" x14ac:dyDescent="0.3">
      <c r="A197" s="25" t="s">
        <v>95</v>
      </c>
      <c r="B197" s="25"/>
      <c r="C197" s="25"/>
      <c r="D197" s="25"/>
      <c r="E197" s="25"/>
      <c r="F197" s="25"/>
      <c r="G197" s="25"/>
      <c r="H197" s="25"/>
      <c r="I197" s="25"/>
      <c r="J197" s="17">
        <f>SUM(I4:I195)</f>
        <v>0</v>
      </c>
    </row>
    <row r="198" spans="1:10" s="19" customFormat="1" ht="32.25" customHeight="1" thickBot="1" x14ac:dyDescent="0.3">
      <c r="A198" s="25" t="s">
        <v>210</v>
      </c>
      <c r="B198" s="25"/>
      <c r="C198" s="25"/>
      <c r="D198" s="25"/>
      <c r="E198" s="25"/>
      <c r="F198" s="25"/>
      <c r="G198" s="25"/>
      <c r="H198" s="25"/>
      <c r="I198" s="25"/>
      <c r="J198" s="17">
        <f>F196*0.2+(1621)</f>
        <v>6910.4000000000005</v>
      </c>
    </row>
    <row r="199" spans="1:10" s="19" customFormat="1" ht="32.25" customHeight="1" thickBot="1" x14ac:dyDescent="0.3">
      <c r="A199" s="25" t="s">
        <v>175</v>
      </c>
      <c r="B199" s="25"/>
      <c r="C199" s="25"/>
      <c r="D199" s="25"/>
      <c r="E199" s="25"/>
      <c r="F199" s="25"/>
      <c r="G199" s="25"/>
      <c r="H199" s="25"/>
      <c r="I199" s="25"/>
      <c r="J199" s="17">
        <f>(J197-F196)*0.2</f>
        <v>-5289.4000000000005</v>
      </c>
    </row>
    <row r="200" spans="1:10" s="19" customFormat="1" ht="32.25" customHeight="1" thickBot="1" x14ac:dyDescent="0.3">
      <c r="A200" s="25" t="s">
        <v>96</v>
      </c>
      <c r="B200" s="25"/>
      <c r="C200" s="25"/>
      <c r="D200" s="25"/>
      <c r="E200" s="25"/>
      <c r="F200" s="25"/>
      <c r="G200" s="25"/>
      <c r="H200" s="25"/>
      <c r="I200" s="25"/>
      <c r="J200" s="17">
        <v>650</v>
      </c>
    </row>
    <row r="201" spans="1:10" s="19" customFormat="1" ht="32.25" customHeight="1" thickBot="1" x14ac:dyDescent="0.3">
      <c r="A201" s="25" t="s">
        <v>97</v>
      </c>
      <c r="B201" s="25"/>
      <c r="C201" s="25"/>
      <c r="D201" s="25"/>
      <c r="E201" s="25"/>
      <c r="F201" s="25"/>
      <c r="G201" s="25"/>
      <c r="H201" s="25"/>
      <c r="I201" s="25"/>
      <c r="J201" s="17">
        <v>1621</v>
      </c>
    </row>
    <row r="202" spans="1:10" s="19" customFormat="1" ht="32.25" customHeight="1" thickBot="1" x14ac:dyDescent="0.3">
      <c r="A202" s="25" t="s">
        <v>98</v>
      </c>
      <c r="B202" s="25"/>
      <c r="C202" s="25"/>
      <c r="D202" s="25"/>
      <c r="E202" s="25"/>
      <c r="F202" s="25"/>
      <c r="G202" s="25"/>
      <c r="H202" s="25"/>
      <c r="I202" s="25"/>
      <c r="J202" s="17">
        <f>SUM(J197:J201)</f>
        <v>3892</v>
      </c>
    </row>
  </sheetData>
  <autoFilter ref="A3:J202" xr:uid="{CBCD8429-FF59-409C-87D5-E9669BC1AD7B}"/>
  <sortState xmlns:xlrd2="http://schemas.microsoft.com/office/spreadsheetml/2017/richdata2" ref="A4:J195">
    <sortCondition ref="B109:B195"/>
  </sortState>
  <mergeCells count="9">
    <mergeCell ref="A1:J1"/>
    <mergeCell ref="A196:E196"/>
    <mergeCell ref="G196:I196"/>
    <mergeCell ref="A202:I202"/>
    <mergeCell ref="A197:I197"/>
    <mergeCell ref="A198:I198"/>
    <mergeCell ref="A199:I199"/>
    <mergeCell ref="A200:I200"/>
    <mergeCell ref="A201:I201"/>
  </mergeCells>
  <dataValidations count="1">
    <dataValidation type="list" allowBlank="1" showInputMessage="1" showErrorMessage="1" sqref="D4:D195" xr:uid="{8F48B92F-D77A-43BF-8A00-68E385C53894}">
      <formula1>"Sim, Não"</formula1>
    </dataValidation>
  </dataValidations>
  <pageMargins left="0.511811024" right="0.511811024" top="0.78740157499999996" bottom="0.78740157499999996" header="0.31496062000000002" footer="0.31496062000000002"/>
  <pageSetup paperSize="9" scale="7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Janeiro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Francisco Alves Cavalcante</dc:creator>
  <cp:lastModifiedBy>Edson Francisco Alves Cavalcante</cp:lastModifiedBy>
  <cp:lastPrinted>2026-02-02T19:33:38Z</cp:lastPrinted>
  <dcterms:created xsi:type="dcterms:W3CDTF">2025-01-11T01:00:34Z</dcterms:created>
  <dcterms:modified xsi:type="dcterms:W3CDTF">2026-02-03T15:35:48Z</dcterms:modified>
</cp:coreProperties>
</file>